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OS\Desktop\BIM_SIGNS\"/>
    </mc:Choice>
  </mc:AlternateContent>
  <xr:revisionPtr revIDLastSave="0" documentId="13_ncr:1_{6F885F6C-F6CD-42D1-8210-E16C858B562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IGNS" sheetId="1" r:id="rId1"/>
    <sheet name="Library_Signs" sheetId="5" r:id="rId2"/>
    <sheet name="BARRIERS" sheetId="2" r:id="rId3"/>
    <sheet name="Library_Barriers" sheetId="6" r:id="rId4"/>
    <sheet name="Hoja1" sheetId="9" r:id="rId5"/>
    <sheet name="SectionTypeOffset" sheetId="8" r:id="rId6"/>
    <sheet name="CONFIG" sheetId="3" r:id="rId7"/>
    <sheet name="CATALOG" sheetId="4" r:id="rId8"/>
  </sheets>
  <definedNames>
    <definedName name="SIGN_BLOCKS">Library_Signs!$A$2:$A$25</definedName>
    <definedName name="Type" comment="Barriers_type" localSheetId="3">TableLibraryBarriers[Type]</definedName>
    <definedName name="VerticalSignsBlocks" localSheetId="1">Library_Signs!$A$2:$A$8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" i="2"/>
  <c r="H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H2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G2" i="2"/>
  <c r="A2" i="2"/>
  <c r="A3" i="2"/>
  <c r="A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S2" i="1"/>
  <c r="S3" i="1"/>
  <c r="S4" i="1"/>
  <c r="S5" i="1"/>
  <c r="S6" i="1"/>
  <c r="V6" i="1" s="1"/>
  <c r="S7" i="1"/>
  <c r="V7" i="1" s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N6" i="1"/>
  <c r="Q6" i="1"/>
  <c r="P6" i="1"/>
  <c r="N7" i="1"/>
  <c r="Q7" i="1"/>
  <c r="P7" i="1"/>
  <c r="N8" i="1"/>
  <c r="Q8" i="1"/>
  <c r="P8" i="1"/>
  <c r="N9" i="1"/>
  <c r="Q9" i="1"/>
  <c r="P9" i="1"/>
  <c r="N10" i="1"/>
  <c r="Q10" i="1"/>
  <c r="P10" i="1"/>
  <c r="N11" i="1"/>
  <c r="Q11" i="1"/>
  <c r="P11" i="1"/>
  <c r="N12" i="1"/>
  <c r="Q12" i="1"/>
  <c r="P12" i="1"/>
  <c r="N13" i="1"/>
  <c r="Q13" i="1"/>
  <c r="P13" i="1"/>
  <c r="N14" i="1"/>
  <c r="Q14" i="1"/>
  <c r="P14" i="1"/>
  <c r="N15" i="1"/>
  <c r="Q15" i="1"/>
  <c r="P15" i="1"/>
  <c r="N16" i="1"/>
  <c r="Q16" i="1"/>
  <c r="P16" i="1"/>
  <c r="N17" i="1"/>
  <c r="Q17" i="1"/>
  <c r="P17" i="1"/>
  <c r="N18" i="1"/>
  <c r="Q18" i="1"/>
  <c r="P18" i="1"/>
  <c r="N19" i="1"/>
  <c r="Q19" i="1"/>
  <c r="P19" i="1"/>
  <c r="N20" i="1"/>
  <c r="Q20" i="1"/>
  <c r="P20" i="1"/>
  <c r="N21" i="1"/>
  <c r="Q21" i="1"/>
  <c r="P21" i="1"/>
  <c r="N22" i="1"/>
  <c r="Q22" i="1"/>
  <c r="P22" i="1"/>
  <c r="N23" i="1"/>
  <c r="Q23" i="1"/>
  <c r="P23" i="1"/>
  <c r="N24" i="1"/>
  <c r="Q24" i="1"/>
  <c r="P24" i="1"/>
  <c r="N25" i="1"/>
  <c r="Q25" i="1"/>
  <c r="P25" i="1"/>
  <c r="N26" i="1"/>
  <c r="Q26" i="1"/>
  <c r="P26" i="1"/>
  <c r="N27" i="1"/>
  <c r="Q27" i="1"/>
  <c r="P27" i="1"/>
  <c r="N28" i="1"/>
  <c r="Q28" i="1"/>
  <c r="P28" i="1"/>
  <c r="N29" i="1"/>
  <c r="Q29" i="1"/>
  <c r="P29" i="1"/>
  <c r="N30" i="1"/>
  <c r="Q30" i="1"/>
  <c r="P30" i="1"/>
  <c r="N31" i="1"/>
  <c r="Q31" i="1"/>
  <c r="P31" i="1"/>
  <c r="N32" i="1"/>
  <c r="Q32" i="1"/>
  <c r="P32" i="1"/>
  <c r="N33" i="1"/>
  <c r="Q33" i="1"/>
  <c r="P33" i="1"/>
  <c r="N34" i="1"/>
  <c r="Q34" i="1"/>
  <c r="P34" i="1"/>
  <c r="N35" i="1"/>
  <c r="Q35" i="1"/>
  <c r="P35" i="1"/>
  <c r="N36" i="1"/>
  <c r="Q36" i="1"/>
  <c r="P36" i="1"/>
  <c r="N37" i="1"/>
  <c r="Q37" i="1"/>
  <c r="P37" i="1"/>
  <c r="N38" i="1"/>
  <c r="Q38" i="1"/>
  <c r="P38" i="1"/>
  <c r="N39" i="1"/>
  <c r="Q39" i="1"/>
  <c r="P39" i="1"/>
  <c r="N40" i="1"/>
  <c r="Q40" i="1"/>
  <c r="P40" i="1"/>
  <c r="N41" i="1"/>
  <c r="Q41" i="1"/>
  <c r="P41" i="1"/>
  <c r="N42" i="1"/>
  <c r="Q42" i="1"/>
  <c r="P42" i="1"/>
  <c r="N43" i="1"/>
  <c r="Q43" i="1"/>
  <c r="P43" i="1"/>
  <c r="N44" i="1"/>
  <c r="Q44" i="1"/>
  <c r="P44" i="1"/>
  <c r="N45" i="1"/>
  <c r="Q45" i="1"/>
  <c r="P45" i="1"/>
  <c r="N46" i="1"/>
  <c r="Q46" i="1"/>
  <c r="P46" i="1"/>
  <c r="N47" i="1"/>
  <c r="Q47" i="1"/>
  <c r="P47" i="1"/>
  <c r="N48" i="1"/>
  <c r="Q48" i="1"/>
  <c r="P48" i="1"/>
  <c r="N49" i="1"/>
  <c r="Q49" i="1"/>
  <c r="P49" i="1"/>
  <c r="N50" i="1"/>
  <c r="Q50" i="1"/>
  <c r="P50" i="1"/>
  <c r="N51" i="1"/>
  <c r="Q51" i="1"/>
  <c r="P51" i="1"/>
  <c r="N52" i="1"/>
  <c r="Q52" i="1"/>
  <c r="P52" i="1"/>
  <c r="N53" i="1"/>
  <c r="Q53" i="1"/>
  <c r="P53" i="1"/>
  <c r="N54" i="1"/>
  <c r="Q54" i="1"/>
  <c r="P54" i="1"/>
  <c r="N55" i="1"/>
  <c r="Q55" i="1"/>
  <c r="P55" i="1"/>
  <c r="N56" i="1"/>
  <c r="Q56" i="1"/>
  <c r="P56" i="1"/>
  <c r="N57" i="1"/>
  <c r="Q57" i="1"/>
  <c r="P57" i="1"/>
  <c r="N58" i="1"/>
  <c r="Q58" i="1"/>
  <c r="P58" i="1"/>
  <c r="N59" i="1"/>
  <c r="Q59" i="1"/>
  <c r="P59" i="1"/>
  <c r="N60" i="1"/>
  <c r="Q60" i="1"/>
  <c r="P60" i="1"/>
  <c r="N61" i="1"/>
  <c r="Q61" i="1"/>
  <c r="P61" i="1"/>
  <c r="N62" i="1"/>
  <c r="Q62" i="1"/>
  <c r="P62" i="1"/>
  <c r="N63" i="1"/>
  <c r="Q63" i="1"/>
  <c r="P63" i="1"/>
  <c r="N64" i="1"/>
  <c r="Q64" i="1"/>
  <c r="P64" i="1"/>
  <c r="N65" i="1"/>
  <c r="Q65" i="1"/>
  <c r="P65" i="1"/>
  <c r="N66" i="1"/>
  <c r="Q66" i="1"/>
  <c r="P66" i="1"/>
  <c r="N67" i="1"/>
  <c r="Q67" i="1"/>
  <c r="P67" i="1"/>
  <c r="N68" i="1"/>
  <c r="Q68" i="1"/>
  <c r="P68" i="1"/>
  <c r="N69" i="1"/>
  <c r="Q69" i="1"/>
  <c r="P69" i="1"/>
  <c r="N70" i="1"/>
  <c r="Q70" i="1"/>
  <c r="P70" i="1"/>
  <c r="N71" i="1"/>
  <c r="Q71" i="1"/>
  <c r="P71" i="1"/>
  <c r="N72" i="1"/>
  <c r="Q72" i="1"/>
  <c r="P72" i="1"/>
  <c r="N73" i="1"/>
  <c r="Q73" i="1"/>
  <c r="P73" i="1"/>
  <c r="N74" i="1"/>
  <c r="Q74" i="1"/>
  <c r="P74" i="1"/>
  <c r="N75" i="1"/>
  <c r="Q75" i="1"/>
  <c r="P75" i="1"/>
  <c r="N76" i="1"/>
  <c r="Q76" i="1"/>
  <c r="P76" i="1"/>
  <c r="N77" i="1"/>
  <c r="Q77" i="1"/>
  <c r="P77" i="1"/>
  <c r="N78" i="1"/>
  <c r="Q78" i="1"/>
  <c r="P78" i="1"/>
  <c r="N79" i="1"/>
  <c r="Q79" i="1"/>
  <c r="P79" i="1"/>
  <c r="N80" i="1"/>
  <c r="Q80" i="1"/>
  <c r="P80" i="1"/>
  <c r="N81" i="1"/>
  <c r="Q81" i="1"/>
  <c r="P81" i="1"/>
  <c r="N82" i="1"/>
  <c r="Q82" i="1"/>
  <c r="P82" i="1"/>
  <c r="N83" i="1"/>
  <c r="Q83" i="1"/>
  <c r="P83" i="1"/>
  <c r="N84" i="1"/>
  <c r="Q84" i="1"/>
  <c r="P84" i="1"/>
  <c r="N85" i="1"/>
  <c r="Q85" i="1"/>
  <c r="P85" i="1"/>
  <c r="N86" i="1"/>
  <c r="Q86" i="1"/>
  <c r="P86" i="1"/>
  <c r="N87" i="1"/>
  <c r="Q87" i="1"/>
  <c r="P87" i="1"/>
  <c r="N88" i="1"/>
  <c r="Q88" i="1"/>
  <c r="P88" i="1"/>
  <c r="N89" i="1"/>
  <c r="Q89" i="1"/>
  <c r="P89" i="1"/>
  <c r="N90" i="1"/>
  <c r="Q90" i="1"/>
  <c r="P90" i="1"/>
  <c r="N91" i="1"/>
  <c r="Q91" i="1"/>
  <c r="P91" i="1"/>
  <c r="N92" i="1"/>
  <c r="Q92" i="1"/>
  <c r="P92" i="1"/>
  <c r="N93" i="1"/>
  <c r="Q93" i="1"/>
  <c r="P93" i="1"/>
  <c r="N94" i="1"/>
  <c r="Q94" i="1"/>
  <c r="P94" i="1"/>
  <c r="N95" i="1"/>
  <c r="Q95" i="1"/>
  <c r="P95" i="1"/>
  <c r="N96" i="1"/>
  <c r="Q96" i="1"/>
  <c r="P96" i="1"/>
  <c r="N97" i="1"/>
  <c r="Q97" i="1"/>
  <c r="P97" i="1"/>
  <c r="N98" i="1"/>
  <c r="Q98" i="1"/>
  <c r="P98" i="1"/>
  <c r="N99" i="1"/>
  <c r="Q99" i="1"/>
  <c r="P99" i="1"/>
  <c r="N100" i="1"/>
  <c r="Q100" i="1"/>
  <c r="P100" i="1"/>
  <c r="N101" i="1"/>
  <c r="Q101" i="1"/>
  <c r="P101" i="1"/>
  <c r="N102" i="1"/>
  <c r="Q102" i="1"/>
  <c r="P102" i="1"/>
  <c r="N103" i="1"/>
  <c r="Q103" i="1"/>
  <c r="P103" i="1"/>
  <c r="N104" i="1"/>
  <c r="Q104" i="1"/>
  <c r="P104" i="1"/>
  <c r="N105" i="1"/>
  <c r="Q105" i="1"/>
  <c r="P105" i="1"/>
  <c r="N106" i="1"/>
  <c r="Q106" i="1"/>
  <c r="P106" i="1"/>
  <c r="N107" i="1"/>
  <c r="Q107" i="1"/>
  <c r="P107" i="1"/>
  <c r="N108" i="1"/>
  <c r="Q108" i="1"/>
  <c r="P108" i="1"/>
  <c r="N109" i="1"/>
  <c r="Q109" i="1"/>
  <c r="P109" i="1"/>
  <c r="N110" i="1"/>
  <c r="Q110" i="1"/>
  <c r="P110" i="1"/>
  <c r="N111" i="1"/>
  <c r="Q111" i="1"/>
  <c r="P111" i="1"/>
  <c r="N112" i="1"/>
  <c r="Q112" i="1"/>
  <c r="P112" i="1"/>
  <c r="N113" i="1"/>
  <c r="Q113" i="1"/>
  <c r="P113" i="1"/>
  <c r="N114" i="1"/>
  <c r="Q114" i="1"/>
  <c r="P114" i="1"/>
  <c r="N115" i="1"/>
  <c r="Q115" i="1"/>
  <c r="P115" i="1"/>
  <c r="N116" i="1"/>
  <c r="Q116" i="1"/>
  <c r="P116" i="1"/>
  <c r="N117" i="1"/>
  <c r="Q117" i="1"/>
  <c r="P117" i="1"/>
  <c r="N118" i="1"/>
  <c r="Q118" i="1"/>
  <c r="P118" i="1"/>
  <c r="N119" i="1"/>
  <c r="Q119" i="1"/>
  <c r="P119" i="1"/>
  <c r="N120" i="1"/>
  <c r="Q120" i="1"/>
  <c r="P120" i="1"/>
  <c r="N121" i="1"/>
  <c r="Q121" i="1"/>
  <c r="P121" i="1"/>
  <c r="N122" i="1"/>
  <c r="Q122" i="1"/>
  <c r="P122" i="1"/>
  <c r="N123" i="1"/>
  <c r="Q123" i="1"/>
  <c r="P123" i="1"/>
  <c r="N124" i="1"/>
  <c r="Q124" i="1"/>
  <c r="P124" i="1"/>
  <c r="N125" i="1"/>
  <c r="Q125" i="1"/>
  <c r="P125" i="1"/>
  <c r="N126" i="1"/>
  <c r="Q126" i="1"/>
  <c r="P126" i="1"/>
  <c r="N127" i="1"/>
  <c r="Q127" i="1"/>
  <c r="P127" i="1"/>
  <c r="N128" i="1"/>
  <c r="Q128" i="1"/>
  <c r="P128" i="1"/>
  <c r="N129" i="1"/>
  <c r="Q129" i="1"/>
  <c r="P129" i="1"/>
  <c r="N130" i="1"/>
  <c r="Q130" i="1"/>
  <c r="P130" i="1"/>
  <c r="N131" i="1"/>
  <c r="Q131" i="1"/>
  <c r="P131" i="1"/>
  <c r="N132" i="1"/>
  <c r="Q132" i="1"/>
  <c r="P132" i="1"/>
  <c r="N133" i="1"/>
  <c r="Q133" i="1"/>
  <c r="P133" i="1"/>
  <c r="N134" i="1"/>
  <c r="Q134" i="1"/>
  <c r="P134" i="1"/>
  <c r="N135" i="1"/>
  <c r="Q135" i="1"/>
  <c r="P135" i="1"/>
  <c r="N136" i="1"/>
  <c r="Q136" i="1"/>
  <c r="P136" i="1"/>
  <c r="N137" i="1"/>
  <c r="Q137" i="1"/>
  <c r="P137" i="1"/>
  <c r="N138" i="1"/>
  <c r="Q138" i="1"/>
  <c r="P138" i="1"/>
  <c r="N139" i="1"/>
  <c r="Q139" i="1"/>
  <c r="P139" i="1"/>
  <c r="N140" i="1"/>
  <c r="Q140" i="1"/>
  <c r="P140" i="1"/>
  <c r="N141" i="1"/>
  <c r="Q141" i="1"/>
  <c r="P141" i="1"/>
  <c r="N142" i="1"/>
  <c r="Q142" i="1"/>
  <c r="P142" i="1"/>
  <c r="N143" i="1"/>
  <c r="Q143" i="1"/>
  <c r="P143" i="1"/>
  <c r="N144" i="1"/>
  <c r="Q144" i="1"/>
  <c r="P144" i="1"/>
  <c r="N145" i="1"/>
  <c r="Q145" i="1"/>
  <c r="P145" i="1"/>
  <c r="N146" i="1"/>
  <c r="Q146" i="1"/>
  <c r="P146" i="1"/>
  <c r="N147" i="1"/>
  <c r="Q147" i="1"/>
  <c r="P147" i="1"/>
  <c r="N148" i="1"/>
  <c r="Q148" i="1"/>
  <c r="P148" i="1"/>
  <c r="N149" i="1"/>
  <c r="Q149" i="1"/>
  <c r="P149" i="1"/>
  <c r="N150" i="1"/>
  <c r="Q150" i="1"/>
  <c r="P150" i="1"/>
  <c r="N151" i="1"/>
  <c r="Q151" i="1"/>
  <c r="P151" i="1"/>
  <c r="N152" i="1"/>
  <c r="Q152" i="1"/>
  <c r="P152" i="1"/>
  <c r="N153" i="1"/>
  <c r="Q153" i="1"/>
  <c r="P153" i="1"/>
  <c r="N154" i="1"/>
  <c r="Q154" i="1"/>
  <c r="P154" i="1"/>
  <c r="N155" i="1"/>
  <c r="Q155" i="1"/>
  <c r="P155" i="1"/>
  <c r="N156" i="1"/>
  <c r="Q156" i="1"/>
  <c r="P156" i="1"/>
  <c r="N157" i="1"/>
  <c r="Q157" i="1"/>
  <c r="P157" i="1"/>
  <c r="N158" i="1"/>
  <c r="Q158" i="1"/>
  <c r="P158" i="1"/>
  <c r="N159" i="1"/>
  <c r="Q159" i="1"/>
  <c r="P159" i="1"/>
  <c r="N160" i="1"/>
  <c r="Q160" i="1"/>
  <c r="P160" i="1"/>
  <c r="N161" i="1"/>
  <c r="Q161" i="1"/>
  <c r="P161" i="1"/>
  <c r="N162" i="1"/>
  <c r="Q162" i="1"/>
  <c r="P162" i="1"/>
  <c r="N163" i="1"/>
  <c r="Q163" i="1"/>
  <c r="P163" i="1"/>
  <c r="N164" i="1"/>
  <c r="Q164" i="1"/>
  <c r="P164" i="1"/>
  <c r="N165" i="1"/>
  <c r="Q165" i="1"/>
  <c r="P165" i="1"/>
  <c r="N166" i="1"/>
  <c r="Q166" i="1"/>
  <c r="P166" i="1"/>
  <c r="N167" i="1"/>
  <c r="Q167" i="1"/>
  <c r="P167" i="1"/>
  <c r="N168" i="1"/>
  <c r="Q168" i="1"/>
  <c r="P168" i="1"/>
  <c r="N169" i="1"/>
  <c r="Q169" i="1"/>
  <c r="P169" i="1"/>
  <c r="N170" i="1"/>
  <c r="Q170" i="1"/>
  <c r="P170" i="1"/>
  <c r="N171" i="1"/>
  <c r="Q171" i="1"/>
  <c r="P171" i="1"/>
  <c r="N172" i="1"/>
  <c r="Q172" i="1"/>
  <c r="P172" i="1"/>
  <c r="N173" i="1"/>
  <c r="Q173" i="1"/>
  <c r="P173" i="1"/>
  <c r="N174" i="1"/>
  <c r="Q174" i="1"/>
  <c r="P174" i="1"/>
  <c r="N175" i="1"/>
  <c r="Q175" i="1"/>
  <c r="P175" i="1"/>
  <c r="N176" i="1"/>
  <c r="Q176" i="1"/>
  <c r="P176" i="1"/>
  <c r="N177" i="1"/>
  <c r="Q177" i="1"/>
  <c r="P177" i="1"/>
  <c r="N178" i="1"/>
  <c r="Q178" i="1"/>
  <c r="P178" i="1"/>
  <c r="N179" i="1"/>
  <c r="Q179" i="1"/>
  <c r="P179" i="1"/>
  <c r="N180" i="1"/>
  <c r="Q180" i="1"/>
  <c r="P180" i="1"/>
  <c r="N181" i="1"/>
  <c r="Q181" i="1"/>
  <c r="P181" i="1"/>
  <c r="N182" i="1"/>
  <c r="Q182" i="1"/>
  <c r="P182" i="1"/>
  <c r="N183" i="1"/>
  <c r="Q183" i="1"/>
  <c r="P183" i="1"/>
  <c r="N184" i="1"/>
  <c r="Q184" i="1"/>
  <c r="P184" i="1"/>
  <c r="N185" i="1"/>
  <c r="Q185" i="1"/>
  <c r="P185" i="1"/>
  <c r="N186" i="1"/>
  <c r="Q186" i="1"/>
  <c r="P186" i="1"/>
  <c r="N187" i="1"/>
  <c r="Q187" i="1"/>
  <c r="P187" i="1"/>
  <c r="N188" i="1"/>
  <c r="Q188" i="1"/>
  <c r="P188" i="1"/>
  <c r="N189" i="1"/>
  <c r="Q189" i="1"/>
  <c r="P189" i="1"/>
  <c r="N190" i="1"/>
  <c r="Q190" i="1"/>
  <c r="P190" i="1"/>
  <c r="N191" i="1"/>
  <c r="Q191" i="1"/>
  <c r="P191" i="1"/>
  <c r="N192" i="1"/>
  <c r="Q192" i="1"/>
  <c r="P192" i="1"/>
  <c r="N193" i="1"/>
  <c r="Q193" i="1"/>
  <c r="P193" i="1"/>
  <c r="N194" i="1"/>
  <c r="Q194" i="1"/>
  <c r="P194" i="1"/>
  <c r="N195" i="1"/>
  <c r="Q195" i="1"/>
  <c r="P195" i="1"/>
  <c r="N196" i="1"/>
  <c r="Q196" i="1"/>
  <c r="P196" i="1"/>
  <c r="N197" i="1"/>
  <c r="Q197" i="1"/>
  <c r="P197" i="1"/>
  <c r="N198" i="1"/>
  <c r="Q198" i="1"/>
  <c r="P198" i="1"/>
  <c r="N199" i="1"/>
  <c r="Q199" i="1"/>
  <c r="P199" i="1"/>
  <c r="N200" i="1"/>
  <c r="Q200" i="1"/>
  <c r="P200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3" i="1"/>
  <c r="A4" i="1"/>
  <c r="A5" i="1"/>
  <c r="A6" i="1"/>
  <c r="A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P3" i="1"/>
  <c r="P4" i="1"/>
  <c r="P5" i="1"/>
  <c r="P2" i="1"/>
  <c r="Q3" i="1"/>
  <c r="Q4" i="1"/>
  <c r="Q5" i="1"/>
  <c r="Q2" i="1"/>
  <c r="N3" i="1"/>
  <c r="N4" i="1"/>
  <c r="N5" i="1"/>
  <c r="N2" i="1"/>
  <c r="V8" i="1" l="1"/>
  <c r="V9" i="1"/>
  <c r="V5" i="1"/>
  <c r="V11" i="1"/>
  <c r="V10" i="1"/>
  <c r="V13" i="1"/>
  <c r="V12" i="1"/>
  <c r="V4" i="1"/>
  <c r="V2" i="1"/>
  <c r="V3" i="1"/>
  <c r="G113" i="2"/>
  <c r="G169" i="2"/>
  <c r="G105" i="2"/>
  <c r="G161" i="2"/>
  <c r="G97" i="2"/>
  <c r="G49" i="2"/>
  <c r="G41" i="2"/>
  <c r="G153" i="2"/>
  <c r="G89" i="2"/>
  <c r="G44" i="2"/>
  <c r="G137" i="2"/>
  <c r="G73" i="2"/>
  <c r="G177" i="2"/>
  <c r="G81" i="2"/>
  <c r="G88" i="2"/>
  <c r="G193" i="2"/>
  <c r="G129" i="2"/>
  <c r="G65" i="2"/>
  <c r="G145" i="2"/>
  <c r="G185" i="2"/>
  <c r="G121" i="2"/>
  <c r="G57" i="2"/>
  <c r="G32" i="2"/>
  <c r="G40" i="2"/>
  <c r="G56" i="2"/>
  <c r="G68" i="2"/>
  <c r="G76" i="2"/>
  <c r="G84" i="2"/>
  <c r="G96" i="2"/>
  <c r="G104" i="2"/>
  <c r="G112" i="2"/>
  <c r="G120" i="2"/>
  <c r="G128" i="2"/>
  <c r="G132" i="2"/>
  <c r="G136" i="2"/>
  <c r="G144" i="2"/>
  <c r="G152" i="2"/>
  <c r="G160" i="2"/>
  <c r="G168" i="2"/>
  <c r="G176" i="2"/>
  <c r="G184" i="2"/>
  <c r="G188" i="2"/>
  <c r="G192" i="2"/>
  <c r="G200" i="2"/>
  <c r="G80" i="2"/>
  <c r="G72" i="2"/>
  <c r="G64" i="2"/>
  <c r="G48" i="2"/>
  <c r="G199" i="2"/>
  <c r="G191" i="2"/>
  <c r="G183" i="2"/>
  <c r="G175" i="2"/>
  <c r="G167" i="2"/>
  <c r="G159" i="2"/>
  <c r="G151" i="2"/>
  <c r="G143" i="2"/>
  <c r="G135" i="2"/>
  <c r="G127" i="2"/>
  <c r="G119" i="2"/>
  <c r="G111" i="2"/>
  <c r="G103" i="2"/>
  <c r="G95" i="2"/>
  <c r="G87" i="2"/>
  <c r="G79" i="2"/>
  <c r="G71" i="2"/>
  <c r="G63" i="2"/>
  <c r="G55" i="2"/>
  <c r="G47" i="2"/>
  <c r="G39" i="2"/>
  <c r="G31" i="2"/>
  <c r="G100" i="2"/>
  <c r="G108" i="2"/>
  <c r="G116" i="2"/>
  <c r="G124" i="2"/>
  <c r="G140" i="2"/>
  <c r="G148" i="2"/>
  <c r="G156" i="2"/>
  <c r="G164" i="2"/>
  <c r="G172" i="2"/>
  <c r="G180" i="2"/>
  <c r="G196" i="2"/>
  <c r="G33" i="2"/>
  <c r="G37" i="2"/>
  <c r="G45" i="2"/>
  <c r="G53" i="2"/>
  <c r="G61" i="2"/>
  <c r="G69" i="2"/>
  <c r="G77" i="2"/>
  <c r="G85" i="2"/>
  <c r="G93" i="2"/>
  <c r="G101" i="2"/>
  <c r="G109" i="2"/>
  <c r="G117" i="2"/>
  <c r="G125" i="2"/>
  <c r="G133" i="2"/>
  <c r="G141" i="2"/>
  <c r="G149" i="2"/>
  <c r="G157" i="2"/>
  <c r="G165" i="2"/>
  <c r="G173" i="2"/>
  <c r="G181" i="2"/>
  <c r="G189" i="2"/>
  <c r="G197" i="2"/>
  <c r="G198" i="2"/>
  <c r="G190" i="2"/>
  <c r="G182" i="2"/>
  <c r="G174" i="2"/>
  <c r="G166" i="2"/>
  <c r="G158" i="2"/>
  <c r="G150" i="2"/>
  <c r="G142" i="2"/>
  <c r="G134" i="2"/>
  <c r="G126" i="2"/>
  <c r="G118" i="2"/>
  <c r="G110" i="2"/>
  <c r="G102" i="2"/>
  <c r="G94" i="2"/>
  <c r="G86" i="2"/>
  <c r="G78" i="2"/>
  <c r="G70" i="2"/>
  <c r="G62" i="2"/>
  <c r="G54" i="2"/>
  <c r="G46" i="2"/>
  <c r="G38" i="2"/>
  <c r="G34" i="2"/>
  <c r="G90" i="2"/>
  <c r="G98" i="2"/>
  <c r="G146" i="2"/>
  <c r="G154" i="2"/>
  <c r="G170" i="2"/>
  <c r="G178" i="2"/>
  <c r="G186" i="2"/>
  <c r="G194" i="2"/>
  <c r="G92" i="2"/>
  <c r="G60" i="2"/>
  <c r="G52" i="2"/>
  <c r="G36" i="2"/>
  <c r="G42" i="2"/>
  <c r="G50" i="2"/>
  <c r="G58" i="2"/>
  <c r="G66" i="2"/>
  <c r="G74" i="2"/>
  <c r="G82" i="2"/>
  <c r="G106" i="2"/>
  <c r="G114" i="2"/>
  <c r="G122" i="2"/>
  <c r="G130" i="2"/>
  <c r="G138" i="2"/>
  <c r="G162" i="2"/>
  <c r="G195" i="2"/>
  <c r="G187" i="2"/>
  <c r="G179" i="2"/>
  <c r="G171" i="2"/>
  <c r="G163" i="2"/>
  <c r="G155" i="2"/>
  <c r="G147" i="2"/>
  <c r="G139" i="2"/>
  <c r="G131" i="2"/>
  <c r="G123" i="2"/>
  <c r="G115" i="2"/>
  <c r="G107" i="2"/>
  <c r="G99" i="2"/>
  <c r="G91" i="2"/>
  <c r="G83" i="2"/>
  <c r="G75" i="2"/>
  <c r="G67" i="2"/>
  <c r="G59" i="2"/>
  <c r="G51" i="2"/>
  <c r="G43" i="2"/>
  <c r="G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821D-1549-447F-9C14-888914213024}" keepAlive="1" name="Consulta - Tabla4" description="Conexión a la consulta 'Tabla4' en el libro." type="5" refreshedVersion="0" background="1">
    <dbPr connection="Provider=Microsoft.Mashup.OleDb.1;Data Source=$Workbook$;Location=Tabla4;Extended Properties=&quot;&quot;" command="SELECT * FROM [Tabla4]"/>
  </connection>
  <connection id="2" xr16:uid="{DA41B27E-C41F-42FE-B8E4-D9EC55C08EEC}" keepAlive="1" name="Consulta - Tabla6" description="Conexión a la consulta 'Tabla6' en el libro." type="5" refreshedVersion="0" background="1">
    <dbPr connection="Provider=Microsoft.Mashup.OleDb.1;Data Source=$Workbook$;Location=Tabla6;Extended Properties=&quot;&quot;" command="SELECT * FROM [Tabla6]"/>
  </connection>
</connections>
</file>

<file path=xl/sharedStrings.xml><?xml version="1.0" encoding="utf-8"?>
<sst xmlns="http://schemas.openxmlformats.org/spreadsheetml/2006/main" count="408" uniqueCount="201">
  <si>
    <t>ID</t>
  </si>
  <si>
    <t>Block</t>
  </si>
  <si>
    <t>Side</t>
  </si>
  <si>
    <t>PKLabel</t>
  </si>
  <si>
    <t>PKValue</t>
  </si>
  <si>
    <t>Offset</t>
  </si>
  <si>
    <t>Height</t>
  </si>
  <si>
    <t>EyeHeight</t>
  </si>
  <si>
    <t>Normative</t>
  </si>
  <si>
    <t>Category</t>
  </si>
  <si>
    <t>Material</t>
  </si>
  <si>
    <t>RotationMode</t>
  </si>
  <si>
    <t>Layer</t>
  </si>
  <si>
    <t>Notes</t>
  </si>
  <si>
    <t>LEFT</t>
  </si>
  <si>
    <t>Spain</t>
  </si>
  <si>
    <t>Warning</t>
  </si>
  <si>
    <t>Galvanized steel</t>
  </si>
  <si>
    <t>AUTO</t>
  </si>
  <si>
    <t>RIGHT</t>
  </si>
  <si>
    <t>R-301</t>
  </si>
  <si>
    <t>Regulatory</t>
  </si>
  <si>
    <t>Information</t>
  </si>
  <si>
    <t>Aluminum</t>
  </si>
  <si>
    <t>PKStartLabel</t>
  </si>
  <si>
    <t>PKStartValue</t>
  </si>
  <si>
    <t>PKEndLabel</t>
  </si>
  <si>
    <t>PKEndValue</t>
  </si>
  <si>
    <t>BarrierType</t>
  </si>
  <si>
    <t>Width</t>
  </si>
  <si>
    <t>ContainmentLevel</t>
  </si>
  <si>
    <t>WorkingWidth</t>
  </si>
  <si>
    <t>0+000</t>
  </si>
  <si>
    <t>Metallic semi-rigid</t>
  </si>
  <si>
    <t>Steel</t>
  </si>
  <si>
    <t>N2</t>
  </si>
  <si>
    <t>W4</t>
  </si>
  <si>
    <t>C-BARRIER</t>
  </si>
  <si>
    <t>Concrete rigid</t>
  </si>
  <si>
    <t>Concrete</t>
  </si>
  <si>
    <t>H1</t>
  </si>
  <si>
    <t>W2</t>
  </si>
  <si>
    <t>Parameter</t>
  </si>
  <si>
    <t>Value</t>
  </si>
  <si>
    <t>Description</t>
  </si>
  <si>
    <t>SheetSigns</t>
  </si>
  <si>
    <t>SIGNS</t>
  </si>
  <si>
    <t>Hoja de señales verticales</t>
  </si>
  <si>
    <t>SheetBarriers</t>
  </si>
  <si>
    <t>BARRIERS</t>
  </si>
  <si>
    <t>Hoja de barreras/sistemas de contención</t>
  </si>
  <si>
    <t>DefaultOffsetRight</t>
  </si>
  <si>
    <t>Desfase por defecto lado derecho</t>
  </si>
  <si>
    <t>DefaultOffsetLeft</t>
  </si>
  <si>
    <t>Desfase por defecto lado izquierdo</t>
  </si>
  <si>
    <t>DefaultRotationMode</t>
  </si>
  <si>
    <t>AUTO o MANUAL</t>
  </si>
  <si>
    <t>PKFormat</t>
  </si>
  <si>
    <t>Formato visual de progresiva</t>
  </si>
  <si>
    <t>PKNumericUnit</t>
  </si>
  <si>
    <t>m</t>
  </si>
  <si>
    <t>PKValue en metros como número real</t>
  </si>
  <si>
    <t>PSetSigns</t>
  </si>
  <si>
    <t>PSET_SIGNALIZATION</t>
  </si>
  <si>
    <t>Property Set propuesto</t>
  </si>
  <si>
    <t>PSetBarriers</t>
  </si>
  <si>
    <t>PSET_BARRIER</t>
  </si>
  <si>
    <t>List</t>
  </si>
  <si>
    <t>Colombia</t>
  </si>
  <si>
    <t>USA</t>
  </si>
  <si>
    <t>MANUAL</t>
  </si>
  <si>
    <t>BarrierFamily</t>
  </si>
  <si>
    <t>Bionda</t>
  </si>
  <si>
    <t>R-305</t>
  </si>
  <si>
    <t>SignCode</t>
  </si>
  <si>
    <t>BlockName</t>
  </si>
  <si>
    <t>SIGN_R301_40</t>
  </si>
  <si>
    <t>SIGN_R301_80</t>
  </si>
  <si>
    <t>SIGN_R305</t>
  </si>
  <si>
    <t>SIGN_R502</t>
  </si>
  <si>
    <t>SIGN_P4</t>
  </si>
  <si>
    <t>SIGN_S25</t>
  </si>
  <si>
    <t>HM</t>
  </si>
  <si>
    <t>SIGN_HITO_MIRIAMETRICO</t>
  </si>
  <si>
    <t>Milestone</t>
  </si>
  <si>
    <t>No overtaking</t>
  </si>
  <si>
    <t>R-502</t>
  </si>
  <si>
    <t>P-4</t>
  </si>
  <si>
    <t>Roundabout ahead</t>
  </si>
  <si>
    <t>S-25</t>
  </si>
  <si>
    <t>Direction sign</t>
  </si>
  <si>
    <t>Speed limit 40 km/h</t>
  </si>
  <si>
    <t>Speed limit 80 km/h</t>
  </si>
  <si>
    <t>End of overtaking restriction</t>
  </si>
  <si>
    <t>Kilometer marker</t>
  </si>
  <si>
    <t>IfcSign</t>
  </si>
  <si>
    <t>IFCEntity</t>
  </si>
  <si>
    <t>UnitCost</t>
  </si>
  <si>
    <t>UnitTime</t>
  </si>
  <si>
    <t>Quantity</t>
  </si>
  <si>
    <t>TotalCost</t>
  </si>
  <si>
    <t>DWGFile</t>
  </si>
  <si>
    <t>SIGN_R301_40.dwg</t>
  </si>
  <si>
    <t>SIGN_R301_80.dwg</t>
  </si>
  <si>
    <t>SIGN_R305.dwg</t>
  </si>
  <si>
    <t>SIGN_R502.dwg</t>
  </si>
  <si>
    <t>SIGN_P4.dwg</t>
  </si>
  <si>
    <t>SIGN_S25.dwg</t>
  </si>
  <si>
    <t>SIGN_HITO_MIRIAMETRICO.dwg</t>
  </si>
  <si>
    <t>C-SIGN-R</t>
  </si>
  <si>
    <t>C-SIGN-P</t>
  </si>
  <si>
    <t>C-SIGN-S</t>
  </si>
  <si>
    <t>C-SIGN-H</t>
  </si>
  <si>
    <t>DWGName</t>
  </si>
  <si>
    <t>Road N-232</t>
  </si>
  <si>
    <t>SIGN_S600_2</t>
  </si>
  <si>
    <t>S-600.2</t>
  </si>
  <si>
    <t>SIGN_S230_2</t>
  </si>
  <si>
    <t>S-230.2</t>
  </si>
  <si>
    <t>Route confirmation</t>
  </si>
  <si>
    <t>Road section information</t>
  </si>
  <si>
    <t>SIGN_HITO</t>
  </si>
  <si>
    <t>BLOCK_SIGN_R301_40.dwg</t>
  </si>
  <si>
    <t>BLOCK_SIGN_R301_80.dwg</t>
  </si>
  <si>
    <t>BLOCK_SIGN_R305.dwg</t>
  </si>
  <si>
    <t>BLOCK_SIGN_R502.dwg</t>
  </si>
  <si>
    <t>BLOCK_SIGN_P4.dwg</t>
  </si>
  <si>
    <t>BLOCK_SIGN_S25.dwg</t>
  </si>
  <si>
    <t>BLOCK_SIGN_HITO_M.dwg</t>
  </si>
  <si>
    <t>BLOCK_SIGN_S600-2.dwg</t>
  </si>
  <si>
    <t>BLOCK_SIGN_S230-2.dwg</t>
  </si>
  <si>
    <t>TimeUnitLength(h)</t>
  </si>
  <si>
    <t>CostUnitLength</t>
  </si>
  <si>
    <t>Type</t>
  </si>
  <si>
    <t>Tubular</t>
  </si>
  <si>
    <t>Tubular steel barrier</t>
  </si>
  <si>
    <t>H2</t>
  </si>
  <si>
    <t>W3</t>
  </si>
  <si>
    <t>IfcRailing</t>
  </si>
  <si>
    <t>BM_N2_A_W4_1.3</t>
  </si>
  <si>
    <t>Standard roadside guardrail</t>
  </si>
  <si>
    <t>BM_H1_A_W4_1.3</t>
  </si>
  <si>
    <t>Higher containment level</t>
  </si>
  <si>
    <t>BM_N2_A_W4_1.3_SPM</t>
  </si>
  <si>
    <t>Bionda + SPM</t>
  </si>
  <si>
    <t>Metallic semi-rigid with motorcycle protection</t>
  </si>
  <si>
    <t>Includes motorcycle protection system</t>
  </si>
  <si>
    <t>PM_H2_B_W3</t>
  </si>
  <si>
    <t>Metal Parapet</t>
  </si>
  <si>
    <t>Bridge parapet</t>
  </si>
  <si>
    <t>Bridge restraint system</t>
  </si>
  <si>
    <t>CR_N2_W2</t>
  </si>
  <si>
    <t>New Jersey</t>
  </si>
  <si>
    <t>Cast-in-place concrete barrier</t>
  </si>
  <si>
    <t>SR_N2_W3</t>
  </si>
  <si>
    <t>Steel Rope</t>
  </si>
  <si>
    <t>Cable barrier</t>
  </si>
  <si>
    <t>Flexible cable barrier</t>
  </si>
  <si>
    <t>TM_H1_W3</t>
  </si>
  <si>
    <t>Tubular steel safety barrier</t>
  </si>
  <si>
    <t>WR_N2_W4</t>
  </si>
  <si>
    <t>Timber</t>
  </si>
  <si>
    <t>Timber safety barrier</t>
  </si>
  <si>
    <t>Timber roadside barrier</t>
  </si>
  <si>
    <t>RB_H2_W2</t>
  </si>
  <si>
    <t>Reinforced concrete barrier</t>
  </si>
  <si>
    <t>Reinforced Concrete</t>
  </si>
  <si>
    <t>Reinforced concrete restraint system</t>
  </si>
  <si>
    <t>IfcEntity</t>
  </si>
  <si>
    <t>Baseline</t>
  </si>
  <si>
    <t>SectionType</t>
  </si>
  <si>
    <t>OffsetLeft</t>
  </si>
  <si>
    <t>OffsetRight</t>
  </si>
  <si>
    <t>N-232_STA_6+300_7+300</t>
  </si>
  <si>
    <t>ST_1</t>
  </si>
  <si>
    <t>ST_2</t>
  </si>
  <si>
    <t>ST_3</t>
  </si>
  <si>
    <t>ST_4</t>
  </si>
  <si>
    <t>PostSpacing</t>
  </si>
  <si>
    <t>ModuleLength</t>
  </si>
  <si>
    <t>BlockLinear</t>
  </si>
  <si>
    <t>BlockPost</t>
  </si>
  <si>
    <t>BL_BM_N2_A_W4_1_3</t>
  </si>
  <si>
    <t>POST_BM_STANDARD</t>
  </si>
  <si>
    <t>BL_BM_H1_A_W4_1_3</t>
  </si>
  <si>
    <t>BL_BM_N2_A_W4_1_3_SPM</t>
  </si>
  <si>
    <t>POST_BM_SPM</t>
  </si>
  <si>
    <t>BL_PM_H2_B_W3</t>
  </si>
  <si>
    <t>POST_PM_H2</t>
  </si>
  <si>
    <t>BL_CR_N2_W2</t>
  </si>
  <si>
    <t>(vacío)</t>
  </si>
  <si>
    <t>BL_SR_N2_W3</t>
  </si>
  <si>
    <t>POST_SR</t>
  </si>
  <si>
    <t>BL_TM_H1_W3</t>
  </si>
  <si>
    <t>POST_TM</t>
  </si>
  <si>
    <t>BL_WR_N2_W4</t>
  </si>
  <si>
    <t>POST_WR</t>
  </si>
  <si>
    <t>BL_RB_H2_W2</t>
  </si>
  <si>
    <t>BLOCK_POST_BM_STD</t>
  </si>
  <si>
    <t>BLOCK_BIONDA_BM_STD</t>
  </si>
  <si>
    <t>BLOCK_POST_PM_H2_B_W3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</si>
</sst>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+&quot;000.00"/>
    <numFmt numFmtId="165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  <font>
      <sz val="10"/>
      <name val="Arial Unicode MS"/>
      <family val="2"/>
    </font>
    <font>
      <i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43">
    <dxf>
      <alignment horizont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&quot;+&quot;000.0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</dxf>
    <dxf>
      <numFmt numFmtId="0" formatCode="General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alignment horizontal="center" textRotation="0" wrapText="0" indent="0" justifyLastLine="0" shrinkToFit="0" readingOrder="0"/>
      <protection locked="1" hidden="0"/>
    </dxf>
    <dxf>
      <numFmt numFmtId="0" formatCode="General"/>
      <alignment horizontal="center" textRotation="0" wrapText="0" indent="0" justifyLastLine="0" shrinkToFit="0" readingOrder="0"/>
      <protection locked="1" hidden="0"/>
    </dxf>
    <dxf>
      <protection locked="0" hidden="0"/>
    </dxf>
    <dxf>
      <protection locked="0" hidden="0"/>
    </dxf>
    <dxf>
      <numFmt numFmtId="2" formatCode="0.00"/>
      <protection locked="0" hidden="0"/>
    </dxf>
    <dxf>
      <numFmt numFmtId="2" formatCode="0.00"/>
      <protection locked="0" hidden="0"/>
    </dxf>
    <dxf>
      <protection locked="0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gnsTable" displayName="SignsTable" ref="A1:V200">
  <tableColumns count="22">
    <tableColumn id="1" xr3:uid="{00000000-0010-0000-0000-000001000000}" name="ID">
      <calculatedColumnFormula>IF(B2="","","S"&amp;TEXT(ROW()-1,"000"))</calculatedColumnFormula>
    </tableColumn>
    <tableColumn id="2" xr3:uid="{00000000-0010-0000-0000-000002000000}" name="BlockName"/>
    <tableColumn id="3" xr3:uid="{00000000-0010-0000-0000-000003000000}" name="Side"/>
    <tableColumn id="5" xr3:uid="{00000000-0010-0000-0000-000005000000}" name="PKValue"/>
    <tableColumn id="16" xr3:uid="{6D4B78CC-2CE2-4244-8C30-CA906FE83C86}" name="PKLabel" dataDxfId="15">
      <calculatedColumnFormula>IF(SignsTable[[#This Row],[PKValue]]="","",IF(D2="","",INT(D2/1000)&amp;"+"&amp;TEXT(MOD(D2,1000),"000.00")))</calculatedColumnFormula>
    </tableColumn>
    <tableColumn id="6" xr3:uid="{00000000-0010-0000-0000-000006000000}" name="Offset"/>
    <tableColumn id="7" xr3:uid="{00000000-0010-0000-0000-000007000000}" name="Height"/>
    <tableColumn id="8" xr3:uid="{00000000-0010-0000-0000-000008000000}" name="EyeHeight"/>
    <tableColumn id="15" xr3:uid="{00000000-0010-0000-0000-00000F000000}" name="Notes"/>
    <tableColumn id="12" xr3:uid="{00000000-0010-0000-0000-00000C000000}" name="Material" dataDxfId="14">
      <calculatedColumnFormula>IF(B2="","",IFERROR(_xlfn.XLOOKUP(B2,TableLibrarySigns[Block],TableLibrarySigns[Material]),""))</calculatedColumnFormula>
    </tableColumn>
    <tableColumn id="13" xr3:uid="{00000000-0010-0000-0000-00000D000000}" name="RotationMode" dataDxfId="13">
      <calculatedColumnFormula>IF(B2="","",IFERROR(_xlfn.XLOOKUP(B2,TableLibrarySigns[Block],TableLibrarySigns[RotationMode]),""))</calculatedColumnFormula>
    </tableColumn>
    <tableColumn id="14" xr3:uid="{00000000-0010-0000-0000-00000E000000}" name="Layer" dataDxfId="12">
      <calculatedColumnFormula>IF(B2="","",IFERROR(_xlfn.XLOOKUP(B2,TableLibrarySigns[Block],TableLibrarySigns[Layer]),""))</calculatedColumnFormula>
    </tableColumn>
    <tableColumn id="23" xr3:uid="{512D0CFC-A7B7-41E4-A907-F3CEFD383C3D}" name="DWGName" dataDxfId="11">
      <calculatedColumnFormula>IF(B2="","",IFERROR(_xlfn.XLOOKUP(B2,TableLibrarySigns[Block],TableLibrarySigns[DWGName]),""))</calculatedColumnFormula>
    </tableColumn>
    <tableColumn id="9" xr3:uid="{00000000-0010-0000-0000-000009000000}" name="SignCode"/>
    <tableColumn id="17" xr3:uid="{9AD70E2D-1258-47A5-8CDF-52EF4E9B5C7B}" name="IFCEntity" dataDxfId="10">
      <calculatedColumnFormula>IF(B2="","",IFERROR(_xlfn.XLOOKUP(B2,TableLibrarySigns[Block],TableLibrarySigns[IFCEntity]),""))</calculatedColumnFormula>
    </tableColumn>
    <tableColumn id="11" xr3:uid="{00000000-0010-0000-0000-00000B000000}" name="Category">
      <calculatedColumnFormula>IF(B2="","",IFERROR(_xlfn.XLOOKUP(B2,TableLibrarySigns[Block],TableLibrarySigns[Category]),""))</calculatedColumnFormula>
    </tableColumn>
    <tableColumn id="10" xr3:uid="{00000000-0010-0000-0000-00000A000000}" name="Normative"/>
    <tableColumn id="18" xr3:uid="{B6F14C80-BBBF-41BA-AA4A-EEFC0B2F610F}" name="Description" dataDxfId="9">
      <calculatedColumnFormula>IF(B2="","",IFERROR(_xlfn.XLOOKUP(B2,TableLibrarySigns[Block],TableLibrarySigns[Description]),""))</calculatedColumnFormula>
    </tableColumn>
    <tableColumn id="21" xr3:uid="{E2226455-3E34-4B8C-8024-233699C54EE9}" name="Quantity" dataDxfId="8">
      <calculatedColumnFormula>IF(B2="","",1)</calculatedColumnFormula>
    </tableColumn>
    <tableColumn id="20" xr3:uid="{B80A4320-0643-41FA-B803-69761E8AEE57}" name="UnitTime" dataDxfId="7">
      <calculatedColumnFormula>IF(B2="","",IFERROR(_xlfn.XLOOKUP(B2,TableLibrarySigns[Block],TableLibrarySigns[UnitTime]),""))</calculatedColumnFormula>
    </tableColumn>
    <tableColumn id="19" xr3:uid="{807BF0F4-49AC-41BC-B642-95DCC2AF53F6}" name="UnitCost" dataDxfId="6">
      <calculatedColumnFormula>IF(B2="","",IFERROR(_xlfn.XLOOKUP(B2,TableLibrarySigns[Block],TableLibrarySigns[UnitCost]),""))</calculatedColumnFormula>
    </tableColumn>
    <tableColumn id="22" xr3:uid="{8AD236C3-4573-4194-9812-7799057B0638}" name="TotalCost" dataDxfId="5">
      <calculatedColumnFormula>IF(B2="","",S2*U2)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F9B1A8-EF5F-49A3-B65F-8393C9E61242}" name="TableLibrarySigns" displayName="TableLibrarySigns" ref="A1:L25" totalsRowShown="0" headerRowDxfId="4">
  <autoFilter ref="A1:L25" xr:uid="{80F9B1A8-EF5F-49A3-B65F-8393C9E61242}"/>
  <tableColumns count="12">
    <tableColumn id="1" xr3:uid="{05D3904A-8CE1-4642-8EAC-F00BAE405033}" name="Block"/>
    <tableColumn id="2" xr3:uid="{335989FB-BDE2-4A00-AD6E-E030A7DACD29}" name="SignCode"/>
    <tableColumn id="3" xr3:uid="{1032D064-2CEA-4A93-A339-D31CAFF69918}" name="IFCEntity"/>
    <tableColumn id="4" xr3:uid="{19DEC729-1BBF-4296-B92A-1CA85D3D7FC8}" name="Category"/>
    <tableColumn id="5" xr3:uid="{2129E557-FC38-4C7D-B0F1-D7632B2A5422}" name="Normative"/>
    <tableColumn id="7" xr3:uid="{FF6CD9F0-91F0-4AB3-A51B-9880C8F49B59}" name="UnitTime"/>
    <tableColumn id="8" xr3:uid="{27F9F442-5FF2-4330-AEF4-9C8BA5BD0229}" name="UnitCost"/>
    <tableColumn id="9" xr3:uid="{4E6CE695-ACE5-401B-AF47-59459FEB7E15}" name="DWGName"/>
    <tableColumn id="12" xr3:uid="{7A3DD4A9-A93A-4996-A59F-1D02A29FDF47}" name="Material"/>
    <tableColumn id="11" xr3:uid="{59B4FAF7-9079-44DB-9E6A-EA93E364EFBC}" name="RotationMode"/>
    <tableColumn id="10" xr3:uid="{37EDCCC5-FC1E-4352-A1AA-ABB11CB321D2}" name="Layer"/>
    <tableColumn id="6" xr3:uid="{76D5310E-5601-4CB5-B653-B740BCA9C991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rriersTable" displayName="BarriersTable" ref="A1:X200" headerRowDxfId="42" dataDxfId="41" totalsRowDxfId="40">
  <tableColumns count="24">
    <tableColumn id="1" xr3:uid="{00000000-0010-0000-0100-000001000000}" name="ID" dataDxfId="39">
      <calculatedColumnFormula>IF(B2="","","B"&amp;TEXT(ROW()-1,"000"))</calculatedColumnFormula>
    </tableColumn>
    <tableColumn id="2" xr3:uid="{00000000-0010-0000-0100-000002000000}" name="Side" dataDxfId="38"/>
    <tableColumn id="4" xr3:uid="{00000000-0010-0000-0100-000004000000}" name="PKStartValue" dataDxfId="37">
      <calculatedColumnFormula>IFERROR(VALUE(SUBSTITUTE(SUBSTITUTE(G2,"+",""),",",".")),"")</calculatedColumnFormula>
    </tableColumn>
    <tableColumn id="6" xr3:uid="{00000000-0010-0000-0100-000006000000}" name="PKEndValue" dataDxfId="36">
      <calculatedColumnFormula>IFERROR(VALUE(SUBSTITUTE(SUBSTITUTE(H2,"+",""),",",".")),"")</calculatedColumnFormula>
    </tableColumn>
    <tableColumn id="7" xr3:uid="{00000000-0010-0000-0100-000007000000}" name="Offset" dataDxfId="35"/>
    <tableColumn id="18" xr3:uid="{765E8BBC-47C6-4572-9870-C6481B917C02}" name="Type" dataDxfId="34"/>
    <tableColumn id="3" xr3:uid="{00000000-0010-0000-0100-000003000000}" name="PKStartLabel" dataDxfId="33">
      <calculatedColumnFormula>IF(BarriersTable[[#This Row],[PKStartValue]]="","",IF(C2="","",INT(C2/1000)&amp;"+"&amp;TEXT(MOD(C2,1000),"000.00")))</calculatedColumnFormula>
    </tableColumn>
    <tableColumn id="5" xr3:uid="{00000000-0010-0000-0100-000005000000}" name="PKEndLabel" dataDxfId="32">
      <calculatedColumnFormula>IF(BarriersTable[[#This Row],[PKEndValue]]="","",IF(D2="","",INT(D2/1000)&amp;"+"&amp;TEXT(MOD(D2,1000),"000.00")))</calculatedColumnFormula>
    </tableColumn>
    <tableColumn id="16" xr3:uid="{63C46DA3-4E2B-49EB-89C5-96026749C423}" name="BarrierFamily" dataDxfId="31">
      <calculatedColumnFormula>IF(F2="","",IFERROR(_xlfn.XLOOKUP(F2,TableLibraryBarriers[Type],TableLibraryBarriers[BarrierFamily]),""))</calculatedColumnFormula>
    </tableColumn>
    <tableColumn id="8" xr3:uid="{00000000-0010-0000-0100-000008000000}" name="BarrierType" dataDxfId="30">
      <calculatedColumnFormula>IF(F2="","",IFERROR(_xlfn.XLOOKUP(F2,TableLibraryBarriers[Type],TableLibraryBarriers[BarrierType]),""))</calculatedColumnFormula>
    </tableColumn>
    <tableColumn id="24" xr3:uid="{4F9D8E09-1B8D-4572-B290-A7AA88861E52}" name="BlockLinear" dataDxfId="29">
      <calculatedColumnFormula>IF(F2="","",IFERROR(_xlfn.XLOOKUP(F2,TableLibraryBarriers[Type],TableLibraryBarriers[BlockLinear]),""))</calculatedColumnFormula>
    </tableColumn>
    <tableColumn id="23" xr3:uid="{439196E5-AEAF-421A-B20B-0E4B12E75A42}" name="BlockPost" dataDxfId="28">
      <calculatedColumnFormula>IF(F2="","",IFERROR(_xlfn.XLOOKUP(F2,TableLibraryBarriers[Type],TableLibraryBarriers[BlockPost]),""))</calculatedColumnFormula>
    </tableColumn>
    <tableColumn id="21" xr3:uid="{03488904-73FD-4B85-845A-9341EF5EF743}" name="IfcEntity" dataDxfId="27">
      <calculatedColumnFormula>IF(F2="","",IFERROR(_xlfn.XLOOKUP(F2,TableLibraryBarriers[Type],TableLibraryBarriers[IFCEntity]),""))</calculatedColumnFormula>
    </tableColumn>
    <tableColumn id="9" xr3:uid="{00000000-0010-0000-0100-000009000000}" name="Material" dataDxfId="26">
      <calculatedColumnFormula>IF(F2="","",IFERROR(_xlfn.XLOOKUP(F2,TableLibraryBarriers[Type],TableLibraryBarriers[Material]),""))</calculatedColumnFormula>
    </tableColumn>
    <tableColumn id="17" xr3:uid="{BDEBE5E4-15D4-4F64-A04F-1001171EDD5E}" name="PostSpacing" dataDxfId="25">
      <calculatedColumnFormula>IF(F2="","",IFERROR(_xlfn.XLOOKUP(F2,TableLibraryBarriers[Type],TableLibraryBarriers[PostSpacing]),""))</calculatedColumnFormula>
    </tableColumn>
    <tableColumn id="22" xr3:uid="{1F039877-B7E6-4A44-984C-20AAAE8B9A1E}" name="ModuleLength" dataDxfId="24">
      <calculatedColumnFormula>IF(F2="","",IFERROR(_xlfn.XLOOKUP(F2,TableLibraryBarriers[Type],TableLibraryBarriers[ModuleLength]),""))</calculatedColumnFormula>
    </tableColumn>
    <tableColumn id="10" xr3:uid="{00000000-0010-0000-0100-00000A000000}" name="Height" dataDxfId="23">
      <calculatedColumnFormula>IF(F2="","",IFERROR(_xlfn.XLOOKUP(F2,TableLibraryBarriers[Type],TableLibraryBarriers[Height]),""))</calculatedColumnFormula>
    </tableColumn>
    <tableColumn id="11" xr3:uid="{00000000-0010-0000-0100-00000B000000}" name="Width" dataDxfId="22">
      <calculatedColumnFormula>IF(F2="","",IFERROR(_xlfn.XLOOKUP(F2,TableLibraryBarriers[Type],TableLibraryBarriers[Width]),""))</calculatedColumnFormula>
    </tableColumn>
    <tableColumn id="12" xr3:uid="{00000000-0010-0000-0100-00000C000000}" name="ContainmentLevel" dataDxfId="21">
      <calculatedColumnFormula>IF(F2="","",IFERROR(_xlfn.XLOOKUP(F2,TableLibraryBarriers[Type],TableLibraryBarriers[ContainmentLevel]),""))</calculatedColumnFormula>
    </tableColumn>
    <tableColumn id="13" xr3:uid="{00000000-0010-0000-0100-00000D000000}" name="WorkingWidth" dataDxfId="20">
      <calculatedColumnFormula>IF(F2="","",IFERROR(_xlfn.XLOOKUP(F2,TableLibraryBarriers[Type],TableLibraryBarriers[WorkingWidth]),""))</calculatedColumnFormula>
    </tableColumn>
    <tableColumn id="14" xr3:uid="{00000000-0010-0000-0100-00000E000000}" name="Layer" dataDxfId="19">
      <calculatedColumnFormula>IF(F2="","",IFERROR(_xlfn.XLOOKUP(F2,TableLibraryBarriers[Type],TableLibraryBarriers[Layer]),""))</calculatedColumnFormula>
    </tableColumn>
    <tableColumn id="19" xr3:uid="{7DBF21E1-A091-4D07-96B2-D4BE89918F0D}" name="TimeUnitLength(h)" dataDxfId="18">
      <calculatedColumnFormula>IF(F2="","",IFERROR(_xlfn.XLOOKUP(F2,TableLibraryBarriers[Type],TableLibraryBarriers[TimeUnitLength(h)]),""))</calculatedColumnFormula>
    </tableColumn>
    <tableColumn id="20" xr3:uid="{90F8BDC1-23BD-406F-9B24-4D3501AD6D87}" name="CostUnitLength" dataDxfId="17">
      <calculatedColumnFormula>IF(F2="","",IFERROR(_xlfn.XLOOKUP(F2,TableLibraryBarriers[Type],TableLibraryBarriers[CostUnitLength]),""))</calculatedColumnFormula>
    </tableColumn>
    <tableColumn id="15" xr3:uid="{00000000-0010-0000-0100-00000F000000}" name="Notes" dataDxfId="16">
      <calculatedColumnFormula>IF(F2="","",IFERROR(_xlfn.XLOOKUP(F2,TableLibraryBarriers[Type],TableLibraryBarriers[Notes]),""))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14BFF0-86E2-42A3-B6C8-319642BB0BEC}" name="TableLibraryBarriers" displayName="TableLibraryBarriers" ref="A1:Q100" totalsRowShown="0" headerRowDxfId="3" headerRowBorderDxfId="2" tableBorderDxfId="1">
  <autoFilter ref="A1:Q100" xr:uid="{5414BFF0-86E2-42A3-B6C8-319642BB0BEC}"/>
  <tableColumns count="17">
    <tableColumn id="1" xr3:uid="{473FFBA4-41BB-433E-A934-F1C438F1E3DB}" name="Type"/>
    <tableColumn id="2" xr3:uid="{19B01B2D-F62C-4B0F-AD35-A82D8E198CC7}" name="BarrierFamily"/>
    <tableColumn id="3" xr3:uid="{64493F1A-5B08-4B33-A84F-A464A9E9CEBE}" name="BarrierType"/>
    <tableColumn id="16" xr3:uid="{E7A8DAF5-D7AB-47C6-93FF-7753DED2D8D1}" name="BlockLinear"/>
    <tableColumn id="17" xr3:uid="{0CE9FBFF-FE17-4018-B5FB-0E8E42406B87}" name="BlockPost"/>
    <tableColumn id="14" xr3:uid="{29160640-D4A2-40C5-8847-5BE6819FD01D}" name="IFCEntity"/>
    <tableColumn id="4" xr3:uid="{B707D6F0-AE93-447A-81CB-10DDDE698F36}" name="Material"/>
    <tableColumn id="5" xr3:uid="{FF2A801B-FBF3-45DF-99D2-4FB5FB97C286}" name="PostSpacing" dataDxfId="0"/>
    <tableColumn id="15" xr3:uid="{BC956244-CA06-44F9-9F1E-C9C332FB9EE1}" name="ModuleLength"/>
    <tableColumn id="6" xr3:uid="{2847FDF8-3FFB-4C97-83CB-554A86D70376}" name="Height"/>
    <tableColumn id="7" xr3:uid="{ADFBAB3E-4FC8-41FC-9626-574258E798FF}" name="Width"/>
    <tableColumn id="8" xr3:uid="{FD4A1A28-13C5-409E-BB10-4BA10C99BBC5}" name="ContainmentLevel"/>
    <tableColumn id="9" xr3:uid="{73C141FE-100E-43B0-BD04-E3DB5FB661C1}" name="WorkingWidth"/>
    <tableColumn id="10" xr3:uid="{D6822253-C15F-4276-8E94-291DC4B3460E}" name="Layer"/>
    <tableColumn id="11" xr3:uid="{D9F16192-081E-4020-A575-71E4C7891A75}" name="TimeUnitLength(h)"/>
    <tableColumn id="12" xr3:uid="{135C4823-7A89-41F7-AA49-93783E58F22B}" name="CostUnitLength"/>
    <tableColumn id="13" xr3:uid="{6024A056-5082-495C-B3A4-0A1357642F3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1980B2-7FDA-4CB6-B48C-1889DB8625FD}" name="TableSectionTypeOffset" displayName="TableSectionTypeOffset" ref="A1:D50" totalsRowShown="0">
  <autoFilter ref="A1:D50" xr:uid="{AD1980B2-7FDA-4CB6-B48C-1889DB8625FD}"/>
  <tableColumns count="4">
    <tableColumn id="1" xr3:uid="{0C7AB224-DF7D-422D-BE64-4500B5FB3208}" name="Baseline"/>
    <tableColumn id="2" xr3:uid="{FCF2D90C-549D-46F8-B0DD-85BA1C9BF60C}" name="SectionType"/>
    <tableColumn id="3" xr3:uid="{A28DC09F-BF31-42C7-A721-A4BBCFDB8B30}" name="OffsetLeft"/>
    <tableColumn id="4" xr3:uid="{29CD64D4-FF34-4CDA-BE96-D4C2D7143234}" name="OffsetR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"/>
  <sheetViews>
    <sheetView zoomScaleNormal="100" workbookViewId="0">
      <selection activeCell="I15" sqref="I15"/>
    </sheetView>
  </sheetViews>
  <sheetFormatPr baseColWidth="10" defaultColWidth="8.796875" defaultRowHeight="13.8"/>
  <cols>
    <col min="1" max="1" width="10" customWidth="1"/>
    <col min="2" max="2" width="18.3984375" customWidth="1"/>
    <col min="3" max="3" width="11.8984375" customWidth="1"/>
    <col min="4" max="5" width="13.09765625" customWidth="1"/>
    <col min="6" max="6" width="8.3984375" customWidth="1"/>
    <col min="7" max="7" width="8.59765625" customWidth="1"/>
    <col min="8" max="8" width="11.5" customWidth="1"/>
    <col min="9" max="9" width="20.09765625" customWidth="1"/>
    <col min="10" max="10" width="20.19921875" customWidth="1"/>
    <col min="11" max="11" width="15.59765625" customWidth="1"/>
    <col min="12" max="12" width="18.19921875" customWidth="1"/>
    <col min="13" max="13" width="34.09765625" customWidth="1"/>
    <col min="14" max="14" width="14.796875" customWidth="1"/>
    <col min="15" max="15" width="11.796875" customWidth="1"/>
    <col min="16" max="17" width="12.5" customWidth="1"/>
    <col min="18" max="18" width="21.3984375" customWidth="1"/>
    <col min="19" max="19" width="17.8984375" customWidth="1"/>
    <col min="20" max="20" width="10.5" customWidth="1"/>
    <col min="21" max="21" width="13" customWidth="1"/>
    <col min="22" max="22" width="12.3984375" customWidth="1"/>
    <col min="23" max="23" width="10.59765625" customWidth="1"/>
    <col min="25" max="25" width="12.09765625" bestFit="1" customWidth="1"/>
    <col min="28" max="28" width="13.296875" customWidth="1"/>
    <col min="29" max="29" width="21.59765625" customWidth="1"/>
  </cols>
  <sheetData>
    <row r="1" spans="1:22" ht="16.8" customHeight="1">
      <c r="A1" s="7" t="s">
        <v>0</v>
      </c>
      <c r="B1" s="1" t="s">
        <v>75</v>
      </c>
      <c r="C1" s="5" t="s">
        <v>2</v>
      </c>
      <c r="D1" s="5" t="s">
        <v>4</v>
      </c>
      <c r="E1" s="1" t="s">
        <v>3</v>
      </c>
      <c r="F1" s="5" t="s">
        <v>5</v>
      </c>
      <c r="G1" s="5" t="s">
        <v>6</v>
      </c>
      <c r="H1" s="5" t="s">
        <v>7</v>
      </c>
      <c r="I1" s="5" t="s">
        <v>13</v>
      </c>
      <c r="J1" s="7" t="s">
        <v>10</v>
      </c>
      <c r="K1" s="7" t="s">
        <v>11</v>
      </c>
      <c r="L1" s="7" t="s">
        <v>12</v>
      </c>
      <c r="M1" s="7" t="s">
        <v>113</v>
      </c>
      <c r="N1" s="1" t="s">
        <v>74</v>
      </c>
      <c r="O1" s="1" t="s">
        <v>96</v>
      </c>
      <c r="P1" s="1" t="s">
        <v>9</v>
      </c>
      <c r="Q1" s="1" t="s">
        <v>8</v>
      </c>
      <c r="R1" s="1" t="s">
        <v>44</v>
      </c>
      <c r="S1" s="1" t="s">
        <v>99</v>
      </c>
      <c r="T1" s="1" t="s">
        <v>98</v>
      </c>
      <c r="U1" s="1" t="s">
        <v>97</v>
      </c>
      <c r="V1" s="1" t="s">
        <v>100</v>
      </c>
    </row>
    <row r="2" spans="1:22" ht="16.8" customHeight="1">
      <c r="A2" t="str">
        <f>IF(B2="","","S"&amp;TEXT(ROW()-1,"000"))</f>
        <v>S001</v>
      </c>
      <c r="B2" t="s">
        <v>78</v>
      </c>
      <c r="C2" t="s">
        <v>14</v>
      </c>
      <c r="D2" s="2">
        <v>6351</v>
      </c>
      <c r="E2" s="6" t="str">
        <f>IF(SignsTable[[#This Row],[PKValue]]="","",IF(D2="","",INT(D2/1000)&amp;"+"&amp;TEXT(MOD(D2,1000),"000.00")))</f>
        <v>6+351.00</v>
      </c>
      <c r="F2">
        <v>4</v>
      </c>
      <c r="G2">
        <v>2.2000000000000002</v>
      </c>
      <c r="H2">
        <v>1.1000000000000001</v>
      </c>
      <c r="I2" t="s">
        <v>114</v>
      </c>
      <c r="J2" t="str">
        <f>IF(B2="","",IFERROR(_xlfn.XLOOKUP(B2,TableLibrarySigns[Block],TableLibrarySigns[Material]),""))</f>
        <v>Galvanized steel</v>
      </c>
      <c r="K2" t="str">
        <f>IF(B2="","",IFERROR(_xlfn.XLOOKUP(B2,TableLibrarySigns[Block],TableLibrarySigns[RotationMode]),""))</f>
        <v>AUTO</v>
      </c>
      <c r="L2" t="str">
        <f>IF(B2="","",IFERROR(_xlfn.XLOOKUP(B2,TableLibrarySigns[Block],TableLibrarySigns[Layer]),""))</f>
        <v>C-SIGN-R</v>
      </c>
      <c r="M2" t="str">
        <f>IF(B2="","",IFERROR(_xlfn.XLOOKUP(B2,TableLibrarySigns[Block],TableLibrarySigns[DWGName]),""))</f>
        <v>BLOCK_SIGN_R305.dwg</v>
      </c>
      <c r="N2" t="str">
        <f>IF(B2="","",IFERROR(_xlfn.XLOOKUP(B2,TableLibrarySigns[Block],TableLibrarySigns[SignCode]),""))</f>
        <v>R-305</v>
      </c>
      <c r="O2" t="str">
        <f>IF(B2="","",IFERROR(_xlfn.XLOOKUP(B2,TableLibrarySigns[Block],TableLibrarySigns[IFCEntity]),""))</f>
        <v>IfcSign</v>
      </c>
      <c r="P2" t="str">
        <f>IF(B2="","",IFERROR(_xlfn.XLOOKUP(B2,TableLibrarySigns[Block],TableLibrarySigns[Category]),""))</f>
        <v>Regulatory</v>
      </c>
      <c r="Q2" t="str">
        <f>IF(B2="","",IFERROR(_xlfn.XLOOKUP(B2,TableLibrarySigns[Block],TableLibrarySigns[Normative]),""))</f>
        <v>Spain</v>
      </c>
      <c r="R2" t="str">
        <f>IF(B2="","",IFERROR(_xlfn.XLOOKUP(B2,TableLibrarySigns[Block],TableLibrarySigns[Description]),""))</f>
        <v>No overtaking</v>
      </c>
      <c r="S2">
        <f t="shared" ref="S2:S33" si="0">IF(B2="","",1)</f>
        <v>1</v>
      </c>
      <c r="T2">
        <f>IF(B2="","",IFERROR(_xlfn.XLOOKUP(B2,TableLibrarySigns[Block],TableLibrarySigns[UnitTime]),""))</f>
        <v>0.3</v>
      </c>
      <c r="U2">
        <f>IF(B2="","",IFERROR(_xlfn.XLOOKUP(B2,TableLibrarySigns[Block],TableLibrarySigns[UnitCost]),""))</f>
        <v>145</v>
      </c>
      <c r="V2">
        <f t="shared" ref="V2:V33" si="1">IF(B2="","",S2*U2)</f>
        <v>145</v>
      </c>
    </row>
    <row r="3" spans="1:22" ht="16.8" customHeight="1">
      <c r="A3" t="str">
        <f t="shared" ref="A3:A66" si="2">IF(B3="","","S"&amp;TEXT(ROW()-1,"000"))</f>
        <v>S002</v>
      </c>
      <c r="B3" t="s">
        <v>78</v>
      </c>
      <c r="C3" t="s">
        <v>19</v>
      </c>
      <c r="D3" s="2">
        <v>6351</v>
      </c>
      <c r="E3" s="6" t="str">
        <f>IF(SignsTable[[#This Row],[PKValue]]="","",IF(D3="","",INT(D3/1000)&amp;"+"&amp;TEXT(MOD(D3,1000),"000.00")))</f>
        <v>6+351.00</v>
      </c>
      <c r="F3">
        <v>5</v>
      </c>
      <c r="G3">
        <v>2.2000000000000002</v>
      </c>
      <c r="H3">
        <v>1.1000000000000001</v>
      </c>
      <c r="I3" t="s">
        <v>114</v>
      </c>
      <c r="J3" t="str">
        <f>IF(B3="","",IFERROR(_xlfn.XLOOKUP(B3,TableLibrarySigns[Block],TableLibrarySigns[Material]),""))</f>
        <v>Galvanized steel</v>
      </c>
      <c r="K3" t="str">
        <f>IF(B3="","",IFERROR(_xlfn.XLOOKUP(B3,TableLibrarySigns[Block],TableLibrarySigns[RotationMode]),""))</f>
        <v>AUTO</v>
      </c>
      <c r="L3" t="str">
        <f>IF(B3="","",IFERROR(_xlfn.XLOOKUP(B3,TableLibrarySigns[Block],TableLibrarySigns[Layer]),""))</f>
        <v>C-SIGN-R</v>
      </c>
      <c r="M3" t="str">
        <f>IF(B3="","",IFERROR(_xlfn.XLOOKUP(B3,TableLibrarySigns[Block],TableLibrarySigns[DWGName]),""))</f>
        <v>BLOCK_SIGN_R305.dwg</v>
      </c>
      <c r="N3" t="str">
        <f>IF(B3="","",IFERROR(_xlfn.XLOOKUP(B3,TableLibrarySigns[Block],TableLibrarySigns[SignCode]),""))</f>
        <v>R-305</v>
      </c>
      <c r="O3" t="str">
        <f>IF(B3="","",IFERROR(_xlfn.XLOOKUP(B3,TableLibrarySigns[Block],TableLibrarySigns[IFCEntity]),""))</f>
        <v>IfcSign</v>
      </c>
      <c r="P3" t="str">
        <f>IF(B3="","",IFERROR(_xlfn.XLOOKUP(B3,TableLibrarySigns[Block],TableLibrarySigns[Category]),""))</f>
        <v>Regulatory</v>
      </c>
      <c r="Q3" t="str">
        <f>IF(B3="","",IFERROR(_xlfn.XLOOKUP(B3,TableLibrarySigns[Block],TableLibrarySigns[Normative]),""))</f>
        <v>Spain</v>
      </c>
      <c r="R3" t="str">
        <f>IF(B3="","",IFERROR(_xlfn.XLOOKUP(B3,TableLibrarySigns[Block],TableLibrarySigns[Description]),""))</f>
        <v>No overtaking</v>
      </c>
      <c r="S3">
        <f t="shared" si="0"/>
        <v>1</v>
      </c>
      <c r="T3">
        <f>IF(B3="","",IFERROR(_xlfn.XLOOKUP(B3,TableLibrarySigns[Block],TableLibrarySigns[UnitTime]),""))</f>
        <v>0.3</v>
      </c>
      <c r="U3">
        <f>IF(B3="","",IFERROR(_xlfn.XLOOKUP(B3,TableLibrarySigns[Block],TableLibrarySigns[UnitCost]),""))</f>
        <v>145</v>
      </c>
      <c r="V3">
        <f t="shared" si="1"/>
        <v>145</v>
      </c>
    </row>
    <row r="4" spans="1:22" ht="16.8" customHeight="1">
      <c r="A4" t="str">
        <f t="shared" si="2"/>
        <v>S003</v>
      </c>
      <c r="B4" t="s">
        <v>77</v>
      </c>
      <c r="C4" t="s">
        <v>14</v>
      </c>
      <c r="D4" s="2">
        <v>6405.65</v>
      </c>
      <c r="E4" s="6" t="str">
        <f>IF(SignsTable[[#This Row],[PKValue]]="","",IF(D4="","",INT(D4/1000)&amp;"+"&amp;TEXT(MOD(D4,1000),"000.00")))</f>
        <v>6+405.65</v>
      </c>
      <c r="F4">
        <v>4</v>
      </c>
      <c r="G4">
        <v>2.2000000000000002</v>
      </c>
      <c r="H4">
        <v>1.1000000000000001</v>
      </c>
      <c r="I4" t="s">
        <v>114</v>
      </c>
      <c r="J4" t="str">
        <f>IF(B4="","",IFERROR(_xlfn.XLOOKUP(B4,TableLibrarySigns[Block],TableLibrarySigns[Material]),""))</f>
        <v>Galvanized steel</v>
      </c>
      <c r="K4" t="str">
        <f>IF(B4="","",IFERROR(_xlfn.XLOOKUP(B4,TableLibrarySigns[Block],TableLibrarySigns[RotationMode]),""))</f>
        <v>AUTO</v>
      </c>
      <c r="L4" t="str">
        <f>IF(B4="","",IFERROR(_xlfn.XLOOKUP(B4,TableLibrarySigns[Block],TableLibrarySigns[Layer]),""))</f>
        <v>C-SIGN-R</v>
      </c>
      <c r="M4" t="str">
        <f>IF(B4="","",IFERROR(_xlfn.XLOOKUP(B4,TableLibrarySigns[Block],TableLibrarySigns[DWGName]),""))</f>
        <v>BLOCK_SIGN_R301_80.dwg</v>
      </c>
      <c r="N4" t="str">
        <f>IF(B4="","",IFERROR(_xlfn.XLOOKUP(B4,TableLibrarySigns[Block],TableLibrarySigns[SignCode]),""))</f>
        <v>R-301</v>
      </c>
      <c r="O4" t="str">
        <f>IF(B4="","",IFERROR(_xlfn.XLOOKUP(B4,TableLibrarySigns[Block],TableLibrarySigns[IFCEntity]),""))</f>
        <v>IfcSign</v>
      </c>
      <c r="P4" t="str">
        <f>IF(B4="","",IFERROR(_xlfn.XLOOKUP(B4,TableLibrarySigns[Block],TableLibrarySigns[Category]),""))</f>
        <v>Regulatory</v>
      </c>
      <c r="Q4" t="str">
        <f>IF(B4="","",IFERROR(_xlfn.XLOOKUP(B4,TableLibrarySigns[Block],TableLibrarySigns[Normative]),""))</f>
        <v>Spain</v>
      </c>
      <c r="R4" t="str">
        <f>IF(B4="","",IFERROR(_xlfn.XLOOKUP(B4,TableLibrarySigns[Block],TableLibrarySigns[Description]),""))</f>
        <v>Speed limit 80 km/h</v>
      </c>
      <c r="S4">
        <f t="shared" si="0"/>
        <v>1</v>
      </c>
      <c r="T4">
        <f>IF(B4="","",IFERROR(_xlfn.XLOOKUP(B4,TableLibrarySigns[Block],TableLibrarySigns[UnitTime]),""))</f>
        <v>0.3</v>
      </c>
      <c r="U4">
        <f>IF(B4="","",IFERROR(_xlfn.XLOOKUP(B4,TableLibrarySigns[Block],TableLibrarySigns[UnitCost]),""))</f>
        <v>145</v>
      </c>
      <c r="V4">
        <f t="shared" si="1"/>
        <v>145</v>
      </c>
    </row>
    <row r="5" spans="1:22" ht="16.8" customHeight="1">
      <c r="A5" t="str">
        <f t="shared" si="2"/>
        <v>S004</v>
      </c>
      <c r="B5" t="s">
        <v>77</v>
      </c>
      <c r="C5" t="s">
        <v>19</v>
      </c>
      <c r="D5" s="2">
        <v>6405.65</v>
      </c>
      <c r="E5" s="6" t="str">
        <f>IF(SignsTable[[#This Row],[PKValue]]="","",IF(D5="","",INT(D5/1000)&amp;"+"&amp;TEXT(MOD(D5,1000),"000.00")))</f>
        <v>6+405.65</v>
      </c>
      <c r="F5">
        <v>5</v>
      </c>
      <c r="G5">
        <v>2.2000000000000002</v>
      </c>
      <c r="H5">
        <v>1.1000000000000001</v>
      </c>
      <c r="I5" t="s">
        <v>114</v>
      </c>
      <c r="J5" t="str">
        <f>IF(B5="","",IFERROR(_xlfn.XLOOKUP(B5,TableLibrarySigns[Block],TableLibrarySigns[Material]),""))</f>
        <v>Galvanized steel</v>
      </c>
      <c r="K5" t="str">
        <f>IF(B5="","",IFERROR(_xlfn.XLOOKUP(B5,TableLibrarySigns[Block],TableLibrarySigns[RotationMode]),""))</f>
        <v>AUTO</v>
      </c>
      <c r="L5" t="str">
        <f>IF(B5="","",IFERROR(_xlfn.XLOOKUP(B5,TableLibrarySigns[Block],TableLibrarySigns[Layer]),""))</f>
        <v>C-SIGN-R</v>
      </c>
      <c r="M5" t="str">
        <f>IF(B5="","",IFERROR(_xlfn.XLOOKUP(B5,TableLibrarySigns[Block],TableLibrarySigns[DWGName]),""))</f>
        <v>BLOCK_SIGN_R301_80.dwg</v>
      </c>
      <c r="N5" t="str">
        <f>IF(B5="","",IFERROR(_xlfn.XLOOKUP(B5,TableLibrarySigns[Block],TableLibrarySigns[SignCode]),""))</f>
        <v>R-301</v>
      </c>
      <c r="O5" t="str">
        <f>IF(B5="","",IFERROR(_xlfn.XLOOKUP(B5,TableLibrarySigns[Block],TableLibrarySigns[IFCEntity]),""))</f>
        <v>IfcSign</v>
      </c>
      <c r="P5" t="str">
        <f>IF(B5="","",IFERROR(_xlfn.XLOOKUP(B5,TableLibrarySigns[Block],TableLibrarySigns[Category]),""))</f>
        <v>Regulatory</v>
      </c>
      <c r="Q5" t="str">
        <f>IF(B5="","",IFERROR(_xlfn.XLOOKUP(B5,TableLibrarySigns[Block],TableLibrarySigns[Normative]),""))</f>
        <v>Spain</v>
      </c>
      <c r="R5" t="str">
        <f>IF(B5="","",IFERROR(_xlfn.XLOOKUP(B5,TableLibrarySigns[Block],TableLibrarySigns[Description]),""))</f>
        <v>Speed limit 80 km/h</v>
      </c>
      <c r="S5">
        <f t="shared" si="0"/>
        <v>1</v>
      </c>
      <c r="T5">
        <f>IF(B5="","",IFERROR(_xlfn.XLOOKUP(B5,TableLibrarySigns[Block],TableLibrarySigns[UnitTime]),""))</f>
        <v>0.3</v>
      </c>
      <c r="U5">
        <f>IF(B5="","",IFERROR(_xlfn.XLOOKUP(B5,TableLibrarySigns[Block],TableLibrarySigns[UnitCost]),""))</f>
        <v>145</v>
      </c>
      <c r="V5">
        <f t="shared" si="1"/>
        <v>145</v>
      </c>
    </row>
    <row r="6" spans="1:22" ht="16.8" customHeight="1">
      <c r="A6" t="str">
        <f t="shared" si="2"/>
        <v>S005</v>
      </c>
      <c r="B6" t="s">
        <v>115</v>
      </c>
      <c r="C6" t="s">
        <v>19</v>
      </c>
      <c r="D6" s="2">
        <v>6549.83</v>
      </c>
      <c r="E6" s="6" t="str">
        <f>IF(SignsTable[[#This Row],[PKValue]]="","",IF(D6="","",INT(D6/1000)&amp;"+"&amp;TEXT(MOD(D6,1000),"000.00")))</f>
        <v>6+549.83</v>
      </c>
      <c r="F6">
        <v>2</v>
      </c>
      <c r="G6">
        <v>2.2000000000000002</v>
      </c>
      <c r="H6">
        <v>1.1000000000000001</v>
      </c>
      <c r="I6" t="s">
        <v>114</v>
      </c>
      <c r="J6" t="str">
        <f>IF(B6="","",IFERROR(_xlfn.XLOOKUP(B6,TableLibrarySigns[Block],TableLibrarySigns[Material]),""))</f>
        <v>Galvanized steel</v>
      </c>
      <c r="K6" t="str">
        <f>IF(B6="","",IFERROR(_xlfn.XLOOKUP(B6,TableLibrarySigns[Block],TableLibrarySigns[RotationMode]),""))</f>
        <v>AUTO</v>
      </c>
      <c r="L6" t="str">
        <f>IF(B6="","",IFERROR(_xlfn.XLOOKUP(B6,TableLibrarySigns[Block],TableLibrarySigns[Layer]),""))</f>
        <v>C-SIGN-S</v>
      </c>
      <c r="M6" t="str">
        <f>IF(B6="","",IFERROR(_xlfn.XLOOKUP(B6,TableLibrarySigns[Block],TableLibrarySigns[DWGName]),""))</f>
        <v>BLOCK_SIGN_S600-2.dwg</v>
      </c>
      <c r="N6" t="str">
        <f>IF(B6="","",IFERROR(_xlfn.XLOOKUP(B6,TableLibrarySigns[Block],TableLibrarySigns[SignCode]),""))</f>
        <v>S-600.2</v>
      </c>
      <c r="O6" t="str">
        <f>IF(B6="","",IFERROR(_xlfn.XLOOKUP(B6,TableLibrarySigns[Block],TableLibrarySigns[IFCEntity]),""))</f>
        <v>IfcSign</v>
      </c>
      <c r="P6" t="str">
        <f>IF(B6="","",IFERROR(_xlfn.XLOOKUP(B6,TableLibrarySigns[Block],TableLibrarySigns[Category]),""))</f>
        <v>Information</v>
      </c>
      <c r="Q6" t="str">
        <f>IF(B6="","",IFERROR(_xlfn.XLOOKUP(B6,TableLibrarySigns[Block],TableLibrarySigns[Normative]),""))</f>
        <v>Spain</v>
      </c>
      <c r="R6" t="str">
        <f>IF(B6="","",IFERROR(_xlfn.XLOOKUP(B6,TableLibrarySigns[Block],TableLibrarySigns[Description]),""))</f>
        <v>Route confirmation</v>
      </c>
      <c r="S6">
        <f t="shared" si="0"/>
        <v>1</v>
      </c>
      <c r="T6">
        <f>IF(B6="","",IFERROR(_xlfn.XLOOKUP(B6,TableLibrarySigns[Block],TableLibrarySigns[UnitTime]),""))</f>
        <v>0.3</v>
      </c>
      <c r="U6">
        <f>IF(B6="","",IFERROR(_xlfn.XLOOKUP(B6,TableLibrarySigns[Block],TableLibrarySigns[UnitCost]),""))</f>
        <v>145</v>
      </c>
      <c r="V6">
        <f t="shared" si="1"/>
        <v>145</v>
      </c>
    </row>
    <row r="7" spans="1:22" ht="16.8" customHeight="1">
      <c r="A7" t="str">
        <f t="shared" si="2"/>
        <v>S006</v>
      </c>
      <c r="B7" t="s">
        <v>117</v>
      </c>
      <c r="C7" t="s">
        <v>14</v>
      </c>
      <c r="D7" s="2">
        <v>6617.64</v>
      </c>
      <c r="E7" s="6" t="str">
        <f>IF(SignsTable[[#This Row],[PKValue]]="","",IF(D7="","",INT(D7/1000)&amp;"+"&amp;TEXT(MOD(D7,1000),"000.00")))</f>
        <v>6+617.64</v>
      </c>
      <c r="F7">
        <v>7.8</v>
      </c>
      <c r="G7">
        <v>2.2000000000000002</v>
      </c>
      <c r="H7">
        <v>1.1000000000000001</v>
      </c>
      <c r="I7" t="s">
        <v>114</v>
      </c>
      <c r="J7" t="str">
        <f>IF(B7="","",IFERROR(_xlfn.XLOOKUP(B7,TableLibrarySigns[Block],TableLibrarySigns[Material]),""))</f>
        <v>Galvanized steel</v>
      </c>
      <c r="K7" t="str">
        <f>IF(B7="","",IFERROR(_xlfn.XLOOKUP(B7,TableLibrarySigns[Block],TableLibrarySigns[RotationMode]),""))</f>
        <v>AUTO</v>
      </c>
      <c r="L7" t="str">
        <f>IF(B7="","",IFERROR(_xlfn.XLOOKUP(B7,TableLibrarySigns[Block],TableLibrarySigns[Layer]),""))</f>
        <v>C-SIGN-S</v>
      </c>
      <c r="M7" t="str">
        <f>IF(B7="","",IFERROR(_xlfn.XLOOKUP(B7,TableLibrarySigns[Block],TableLibrarySigns[DWGName]),""))</f>
        <v>BLOCK_SIGN_S230-2.dwg</v>
      </c>
      <c r="N7" t="str">
        <f>IF(B7="","",IFERROR(_xlfn.XLOOKUP(B7,TableLibrarySigns[Block],TableLibrarySigns[SignCode]),""))</f>
        <v>S-230.2</v>
      </c>
      <c r="O7" t="str">
        <f>IF(B7="","",IFERROR(_xlfn.XLOOKUP(B7,TableLibrarySigns[Block],TableLibrarySigns[IFCEntity]),""))</f>
        <v>IfcSign</v>
      </c>
      <c r="P7" t="str">
        <f>IF(B7="","",IFERROR(_xlfn.XLOOKUP(B7,TableLibrarySigns[Block],TableLibrarySigns[Category]),""))</f>
        <v>Information</v>
      </c>
      <c r="Q7" t="str">
        <f>IF(B7="","",IFERROR(_xlfn.XLOOKUP(B7,TableLibrarySigns[Block],TableLibrarySigns[Normative]),""))</f>
        <v>Spain</v>
      </c>
      <c r="R7" t="str">
        <f>IF(B7="","",IFERROR(_xlfn.XLOOKUP(B7,TableLibrarySigns[Block],TableLibrarySigns[Description]),""))</f>
        <v>Road section information</v>
      </c>
      <c r="S7">
        <f t="shared" si="0"/>
        <v>1</v>
      </c>
      <c r="T7">
        <f>IF(B7="","",IFERROR(_xlfn.XLOOKUP(B7,TableLibrarySigns[Block],TableLibrarySigns[UnitTime]),""))</f>
        <v>0.3</v>
      </c>
      <c r="U7">
        <f>IF(B7="","",IFERROR(_xlfn.XLOOKUP(B7,TableLibrarySigns[Block],TableLibrarySigns[UnitCost]),""))</f>
        <v>145</v>
      </c>
      <c r="V7">
        <f t="shared" si="1"/>
        <v>145</v>
      </c>
    </row>
    <row r="8" spans="1:22" ht="16.8" customHeight="1">
      <c r="A8" t="str">
        <f t="shared" si="2"/>
        <v>S007</v>
      </c>
      <c r="B8" t="s">
        <v>78</v>
      </c>
      <c r="C8" t="s">
        <v>14</v>
      </c>
      <c r="D8" s="2">
        <v>6696.83</v>
      </c>
      <c r="E8" s="6" t="str">
        <f>IF(SignsTable[[#This Row],[PKValue]]="","",IF(D8="","",INT(D8/1000)&amp;"+"&amp;TEXT(MOD(D8,1000),"000.00")))</f>
        <v>6+696.83</v>
      </c>
      <c r="F8">
        <v>2</v>
      </c>
      <c r="G8">
        <v>2.2000000000000002</v>
      </c>
      <c r="H8">
        <v>1.1000000000000001</v>
      </c>
      <c r="I8" t="s">
        <v>114</v>
      </c>
      <c r="J8" t="str">
        <f>IF(B8="","",IFERROR(_xlfn.XLOOKUP(B8,TableLibrarySigns[Block],TableLibrarySigns[Material]),""))</f>
        <v>Galvanized steel</v>
      </c>
      <c r="K8" t="str">
        <f>IF(B8="","",IFERROR(_xlfn.XLOOKUP(B8,TableLibrarySigns[Block],TableLibrarySigns[RotationMode]),""))</f>
        <v>AUTO</v>
      </c>
      <c r="L8" t="str">
        <f>IF(B8="","",IFERROR(_xlfn.XLOOKUP(B8,TableLibrarySigns[Block],TableLibrarySigns[Layer]),""))</f>
        <v>C-SIGN-R</v>
      </c>
      <c r="M8" t="str">
        <f>IF(B8="","",IFERROR(_xlfn.XLOOKUP(B8,TableLibrarySigns[Block],TableLibrarySigns[DWGName]),""))</f>
        <v>BLOCK_SIGN_R305.dwg</v>
      </c>
      <c r="N8" t="str">
        <f>IF(B8="","",IFERROR(_xlfn.XLOOKUP(B8,TableLibrarySigns[Block],TableLibrarySigns[SignCode]),""))</f>
        <v>R-305</v>
      </c>
      <c r="O8" t="str">
        <f>IF(B8="","",IFERROR(_xlfn.XLOOKUP(B8,TableLibrarySigns[Block],TableLibrarySigns[IFCEntity]),""))</f>
        <v>IfcSign</v>
      </c>
      <c r="P8" t="str">
        <f>IF(B8="","",IFERROR(_xlfn.XLOOKUP(B8,TableLibrarySigns[Block],TableLibrarySigns[Category]),""))</f>
        <v>Regulatory</v>
      </c>
      <c r="Q8" t="str">
        <f>IF(B8="","",IFERROR(_xlfn.XLOOKUP(B8,TableLibrarySigns[Block],TableLibrarySigns[Normative]),""))</f>
        <v>Spain</v>
      </c>
      <c r="R8" t="str">
        <f>IF(B8="","",IFERROR(_xlfn.XLOOKUP(B8,TableLibrarySigns[Block],TableLibrarySigns[Description]),""))</f>
        <v>No overtaking</v>
      </c>
      <c r="S8">
        <f t="shared" si="0"/>
        <v>1</v>
      </c>
      <c r="T8">
        <f>IF(B8="","",IFERROR(_xlfn.XLOOKUP(B8,TableLibrarySigns[Block],TableLibrarySigns[UnitTime]),""))</f>
        <v>0.3</v>
      </c>
      <c r="U8">
        <f>IF(B8="","",IFERROR(_xlfn.XLOOKUP(B8,TableLibrarySigns[Block],TableLibrarySigns[UnitCost]),""))</f>
        <v>145</v>
      </c>
      <c r="V8">
        <f t="shared" si="1"/>
        <v>145</v>
      </c>
    </row>
    <row r="9" spans="1:22" ht="16.8" customHeight="1">
      <c r="A9" t="str">
        <f t="shared" si="2"/>
        <v>S008</v>
      </c>
      <c r="B9" t="s">
        <v>78</v>
      </c>
      <c r="C9" t="s">
        <v>19</v>
      </c>
      <c r="D9" s="2">
        <v>6696.83</v>
      </c>
      <c r="E9" s="6" t="str">
        <f>IF(SignsTable[[#This Row],[PKValue]]="","",IF(D9="","",INT(D9/1000)&amp;"+"&amp;TEXT(MOD(D9,1000),"000.00")))</f>
        <v>6+696.83</v>
      </c>
      <c r="F9">
        <v>3</v>
      </c>
      <c r="G9">
        <v>2.2000000000000002</v>
      </c>
      <c r="H9">
        <v>1.1000000000000001</v>
      </c>
      <c r="I9" t="s">
        <v>114</v>
      </c>
      <c r="J9" t="str">
        <f>IF(B9="","",IFERROR(_xlfn.XLOOKUP(B9,TableLibrarySigns[Block],TableLibrarySigns[Material]),""))</f>
        <v>Galvanized steel</v>
      </c>
      <c r="K9" t="str">
        <f>IF(B9="","",IFERROR(_xlfn.XLOOKUP(B9,TableLibrarySigns[Block],TableLibrarySigns[RotationMode]),""))</f>
        <v>AUTO</v>
      </c>
      <c r="L9" t="str">
        <f>IF(B9="","",IFERROR(_xlfn.XLOOKUP(B9,TableLibrarySigns[Block],TableLibrarySigns[Layer]),""))</f>
        <v>C-SIGN-R</v>
      </c>
      <c r="M9" t="str">
        <f>IF(B9="","",IFERROR(_xlfn.XLOOKUP(B9,TableLibrarySigns[Block],TableLibrarySigns[DWGName]),""))</f>
        <v>BLOCK_SIGN_R305.dwg</v>
      </c>
      <c r="N9" t="str">
        <f>IF(B9="","",IFERROR(_xlfn.XLOOKUP(B9,TableLibrarySigns[Block],TableLibrarySigns[SignCode]),""))</f>
        <v>R-305</v>
      </c>
      <c r="O9" t="str">
        <f>IF(B9="","",IFERROR(_xlfn.XLOOKUP(B9,TableLibrarySigns[Block],TableLibrarySigns[IFCEntity]),""))</f>
        <v>IfcSign</v>
      </c>
      <c r="P9" t="str">
        <f>IF(B9="","",IFERROR(_xlfn.XLOOKUP(B9,TableLibrarySigns[Block],TableLibrarySigns[Category]),""))</f>
        <v>Regulatory</v>
      </c>
      <c r="Q9" t="str">
        <f>IF(B9="","",IFERROR(_xlfn.XLOOKUP(B9,TableLibrarySigns[Block],TableLibrarySigns[Normative]),""))</f>
        <v>Spain</v>
      </c>
      <c r="R9" t="str">
        <f>IF(B9="","",IFERROR(_xlfn.XLOOKUP(B9,TableLibrarySigns[Block],TableLibrarySigns[Description]),""))</f>
        <v>No overtaking</v>
      </c>
      <c r="S9">
        <f t="shared" si="0"/>
        <v>1</v>
      </c>
      <c r="T9">
        <f>IF(B9="","",IFERROR(_xlfn.XLOOKUP(B9,TableLibrarySigns[Block],TableLibrarySigns[UnitTime]),""))</f>
        <v>0.3</v>
      </c>
      <c r="U9">
        <f>IF(B9="","",IFERROR(_xlfn.XLOOKUP(B9,TableLibrarySigns[Block],TableLibrarySigns[UnitCost]),""))</f>
        <v>145</v>
      </c>
      <c r="V9">
        <f t="shared" si="1"/>
        <v>145</v>
      </c>
    </row>
    <row r="10" spans="1:22" ht="16.8" customHeight="1">
      <c r="A10" t="str">
        <f t="shared" si="2"/>
        <v>S009</v>
      </c>
      <c r="B10" t="s">
        <v>121</v>
      </c>
      <c r="C10" t="s">
        <v>14</v>
      </c>
      <c r="D10" s="2">
        <v>6941.76</v>
      </c>
      <c r="E10" s="6" t="str">
        <f>IF(SignsTable[[#This Row],[PKValue]]="","",IF(D10="","",INT(D10/1000)&amp;"+"&amp;TEXT(MOD(D10,1000),"000.00")))</f>
        <v>6+941.76</v>
      </c>
      <c r="F10">
        <v>3.4</v>
      </c>
      <c r="G10">
        <v>2.2000000000000002</v>
      </c>
      <c r="H10">
        <v>1.1000000000000001</v>
      </c>
      <c r="I10" t="s">
        <v>114</v>
      </c>
      <c r="J10" t="str">
        <f>IF(B10="","",IFERROR(_xlfn.XLOOKUP(B10,TableLibrarySigns[Block],TableLibrarySigns[Material]),""))</f>
        <v>Concrete</v>
      </c>
      <c r="K10" t="str">
        <f>IF(B10="","",IFERROR(_xlfn.XLOOKUP(B10,TableLibrarySigns[Block],TableLibrarySigns[RotationMode]),""))</f>
        <v>AUTO</v>
      </c>
      <c r="L10" t="str">
        <f>IF(B10="","",IFERROR(_xlfn.XLOOKUP(B10,TableLibrarySigns[Block],TableLibrarySigns[Layer]),""))</f>
        <v>C-SIGN-H</v>
      </c>
      <c r="M10" t="str">
        <f>IF(B10="","",IFERROR(_xlfn.XLOOKUP(B10,TableLibrarySigns[Block],TableLibrarySigns[DWGName]),""))</f>
        <v>BLOCK_SIGN_HITO_M.dwg</v>
      </c>
      <c r="N10" t="str">
        <f>IF(B10="","",IFERROR(_xlfn.XLOOKUP(B10,TableLibrarySigns[Block],TableLibrarySigns[SignCode]),""))</f>
        <v>HM</v>
      </c>
      <c r="O10" t="str">
        <f>IF(B10="","",IFERROR(_xlfn.XLOOKUP(B10,TableLibrarySigns[Block],TableLibrarySigns[IFCEntity]),""))</f>
        <v>IfcSign</v>
      </c>
      <c r="P10" t="str">
        <f>IF(B10="","",IFERROR(_xlfn.XLOOKUP(B10,TableLibrarySigns[Block],TableLibrarySigns[Category]),""))</f>
        <v>Milestone</v>
      </c>
      <c r="Q10" t="str">
        <f>IF(B10="","",IFERROR(_xlfn.XLOOKUP(B10,TableLibrarySigns[Block],TableLibrarySigns[Normative]),""))</f>
        <v>Spain</v>
      </c>
      <c r="R10" t="str">
        <f>IF(B10="","",IFERROR(_xlfn.XLOOKUP(B10,TableLibrarySigns[Block],TableLibrarySigns[Description]),""))</f>
        <v>Kilometer marker</v>
      </c>
      <c r="S10">
        <f t="shared" si="0"/>
        <v>1</v>
      </c>
      <c r="T10">
        <f>IF(B10="","",IFERROR(_xlfn.XLOOKUP(B10,TableLibrarySigns[Block],TableLibrarySigns[UnitTime]),""))</f>
        <v>0.3</v>
      </c>
      <c r="U10">
        <f>IF(B10="","",IFERROR(_xlfn.XLOOKUP(B10,TableLibrarySigns[Block],TableLibrarySigns[UnitCost]),""))</f>
        <v>145</v>
      </c>
      <c r="V10">
        <f t="shared" si="1"/>
        <v>145</v>
      </c>
    </row>
    <row r="11" spans="1:22" ht="16.8" customHeight="1">
      <c r="A11" t="str">
        <f t="shared" si="2"/>
        <v>S010</v>
      </c>
      <c r="B11" t="s">
        <v>121</v>
      </c>
      <c r="C11" t="s">
        <v>19</v>
      </c>
      <c r="D11" s="2">
        <v>6941.76</v>
      </c>
      <c r="E11" s="6" t="str">
        <f>IF(SignsTable[[#This Row],[PKValue]]="","",IF(D11="","",INT(D11/1000)&amp;"+"&amp;TEXT(MOD(D11,1000),"000.00")))</f>
        <v>6+941.76</v>
      </c>
      <c r="F11">
        <v>4.5</v>
      </c>
      <c r="G11">
        <v>2.2000000000000002</v>
      </c>
      <c r="H11">
        <v>1.1000000000000001</v>
      </c>
      <c r="I11" t="s">
        <v>114</v>
      </c>
      <c r="J11" t="str">
        <f>IF(B11="","",IFERROR(_xlfn.XLOOKUP(B11,TableLibrarySigns[Block],TableLibrarySigns[Material]),""))</f>
        <v>Concrete</v>
      </c>
      <c r="K11" t="str">
        <f>IF(B11="","",IFERROR(_xlfn.XLOOKUP(B11,TableLibrarySigns[Block],TableLibrarySigns[RotationMode]),""))</f>
        <v>AUTO</v>
      </c>
      <c r="L11" t="str">
        <f>IF(B11="","",IFERROR(_xlfn.XLOOKUP(B11,TableLibrarySigns[Block],TableLibrarySigns[Layer]),""))</f>
        <v>C-SIGN-H</v>
      </c>
      <c r="M11" t="str">
        <f>IF(B11="","",IFERROR(_xlfn.XLOOKUP(B11,TableLibrarySigns[Block],TableLibrarySigns[DWGName]),""))</f>
        <v>BLOCK_SIGN_HITO_M.dwg</v>
      </c>
      <c r="N11" t="str">
        <f>IF(B11="","",IFERROR(_xlfn.XLOOKUP(B11,TableLibrarySigns[Block],TableLibrarySigns[SignCode]),""))</f>
        <v>HM</v>
      </c>
      <c r="O11" t="str">
        <f>IF(B11="","",IFERROR(_xlfn.XLOOKUP(B11,TableLibrarySigns[Block],TableLibrarySigns[IFCEntity]),""))</f>
        <v>IfcSign</v>
      </c>
      <c r="P11" t="str">
        <f>IF(B11="","",IFERROR(_xlfn.XLOOKUP(B11,TableLibrarySigns[Block],TableLibrarySigns[Category]),""))</f>
        <v>Milestone</v>
      </c>
      <c r="Q11" t="str">
        <f>IF(B11="","",IFERROR(_xlfn.XLOOKUP(B11,TableLibrarySigns[Block],TableLibrarySigns[Normative]),""))</f>
        <v>Spain</v>
      </c>
      <c r="R11" t="str">
        <f>IF(B11="","",IFERROR(_xlfn.XLOOKUP(B11,TableLibrarySigns[Block],TableLibrarySigns[Description]),""))</f>
        <v>Kilometer marker</v>
      </c>
      <c r="S11">
        <f t="shared" si="0"/>
        <v>1</v>
      </c>
      <c r="T11">
        <f>IF(B11="","",IFERROR(_xlfn.XLOOKUP(B11,TableLibrarySigns[Block],TableLibrarySigns[UnitTime]),""))</f>
        <v>0.3</v>
      </c>
      <c r="U11">
        <f>IF(B11="","",IFERROR(_xlfn.XLOOKUP(B11,TableLibrarySigns[Block],TableLibrarySigns[UnitCost]),""))</f>
        <v>145</v>
      </c>
      <c r="V11">
        <f t="shared" si="1"/>
        <v>145</v>
      </c>
    </row>
    <row r="12" spans="1:22" ht="16.8" customHeight="1">
      <c r="A12" t="str">
        <f t="shared" si="2"/>
        <v>S011</v>
      </c>
      <c r="B12" t="s">
        <v>79</v>
      </c>
      <c r="C12" t="s">
        <v>19</v>
      </c>
      <c r="D12" s="2">
        <v>7102.21</v>
      </c>
      <c r="E12" s="6" t="str">
        <f>IF(SignsTable[[#This Row],[PKValue]]="","",IF(D12="","",INT(D12/1000)&amp;"+"&amp;TEXT(MOD(D12,1000),"000.00")))</f>
        <v>7+102.21</v>
      </c>
      <c r="F12">
        <v>0.4</v>
      </c>
      <c r="G12">
        <v>2.2000000000000002</v>
      </c>
      <c r="H12">
        <v>1.1000000000000001</v>
      </c>
      <c r="I12" t="s">
        <v>114</v>
      </c>
      <c r="J12" t="str">
        <f>IF(B12="","",IFERROR(_xlfn.XLOOKUP(B12,TableLibrarySigns[Block],TableLibrarySigns[Material]),""))</f>
        <v>Galvanized steel</v>
      </c>
      <c r="K12" t="str">
        <f>IF(B12="","",IFERROR(_xlfn.XLOOKUP(B12,TableLibrarySigns[Block],TableLibrarySigns[RotationMode]),""))</f>
        <v>AUTO</v>
      </c>
      <c r="L12" t="str">
        <f>IF(B12="","",IFERROR(_xlfn.XLOOKUP(B12,TableLibrarySigns[Block],TableLibrarySigns[Layer]),""))</f>
        <v>C-SIGN-R</v>
      </c>
      <c r="M12" t="str">
        <f>IF(B12="","",IFERROR(_xlfn.XLOOKUP(B12,TableLibrarySigns[Block],TableLibrarySigns[DWGName]),""))</f>
        <v>BLOCK_SIGN_R502.dwg</v>
      </c>
      <c r="N12" t="str">
        <f>IF(B12="","",IFERROR(_xlfn.XLOOKUP(B12,TableLibrarySigns[Block],TableLibrarySigns[SignCode]),""))</f>
        <v>R-502</v>
      </c>
      <c r="O12" t="str">
        <f>IF(B12="","",IFERROR(_xlfn.XLOOKUP(B12,TableLibrarySigns[Block],TableLibrarySigns[IFCEntity]),""))</f>
        <v>IfcSign</v>
      </c>
      <c r="P12" t="str">
        <f>IF(B12="","",IFERROR(_xlfn.XLOOKUP(B12,TableLibrarySigns[Block],TableLibrarySigns[Category]),""))</f>
        <v>Regulatory</v>
      </c>
      <c r="Q12" t="str">
        <f>IF(B12="","",IFERROR(_xlfn.XLOOKUP(B12,TableLibrarySigns[Block],TableLibrarySigns[Normative]),""))</f>
        <v>Spain</v>
      </c>
      <c r="R12" t="str">
        <f>IF(B12="","",IFERROR(_xlfn.XLOOKUP(B12,TableLibrarySigns[Block],TableLibrarySigns[Description]),""))</f>
        <v>End of overtaking restriction</v>
      </c>
      <c r="S12">
        <f t="shared" si="0"/>
        <v>1</v>
      </c>
      <c r="T12">
        <f>IF(B12="","",IFERROR(_xlfn.XLOOKUP(B12,TableLibrarySigns[Block],TableLibrarySigns[UnitTime]),""))</f>
        <v>0.3</v>
      </c>
      <c r="U12">
        <f>IF(B12="","",IFERROR(_xlfn.XLOOKUP(B12,TableLibrarySigns[Block],TableLibrarySigns[UnitCost]),""))</f>
        <v>145</v>
      </c>
      <c r="V12">
        <f t="shared" si="1"/>
        <v>145</v>
      </c>
    </row>
    <row r="13" spans="1:22" ht="16.8" customHeight="1">
      <c r="A13" t="str">
        <f t="shared" si="2"/>
        <v>S012</v>
      </c>
      <c r="B13" t="s">
        <v>79</v>
      </c>
      <c r="C13" t="s">
        <v>14</v>
      </c>
      <c r="D13" s="2">
        <v>7178.24</v>
      </c>
      <c r="E13" s="6" t="str">
        <f>IF(SignsTable[[#This Row],[PKValue]]="","",IF(D13="","",INT(D13/1000)&amp;"+"&amp;TEXT(MOD(D13,1000),"000.00")))</f>
        <v>7+178.24</v>
      </c>
      <c r="F13">
        <v>0</v>
      </c>
      <c r="G13">
        <v>2.2000000000000002</v>
      </c>
      <c r="H13">
        <v>1.1000000000000001</v>
      </c>
      <c r="I13" t="s">
        <v>114</v>
      </c>
      <c r="J13" t="str">
        <f>IF(B13="","",IFERROR(_xlfn.XLOOKUP(B13,TableLibrarySigns[Block],TableLibrarySigns[Material]),""))</f>
        <v>Galvanized steel</v>
      </c>
      <c r="K13" t="str">
        <f>IF(B13="","",IFERROR(_xlfn.XLOOKUP(B13,TableLibrarySigns[Block],TableLibrarySigns[RotationMode]),""))</f>
        <v>AUTO</v>
      </c>
      <c r="L13" t="str">
        <f>IF(B13="","",IFERROR(_xlfn.XLOOKUP(B13,TableLibrarySigns[Block],TableLibrarySigns[Layer]),""))</f>
        <v>C-SIGN-R</v>
      </c>
      <c r="M13" t="str">
        <f>IF(B13="","",IFERROR(_xlfn.XLOOKUP(B13,TableLibrarySigns[Block],TableLibrarySigns[DWGName]),""))</f>
        <v>BLOCK_SIGN_R502.dwg</v>
      </c>
      <c r="N13" t="str">
        <f>IF(B13="","",IFERROR(_xlfn.XLOOKUP(B13,TableLibrarySigns[Block],TableLibrarySigns[SignCode]),""))</f>
        <v>R-502</v>
      </c>
      <c r="O13" t="str">
        <f>IF(B13="","",IFERROR(_xlfn.XLOOKUP(B13,TableLibrarySigns[Block],TableLibrarySigns[IFCEntity]),""))</f>
        <v>IfcSign</v>
      </c>
      <c r="P13" t="str">
        <f>IF(B13="","",IFERROR(_xlfn.XLOOKUP(B13,TableLibrarySigns[Block],TableLibrarySigns[Category]),""))</f>
        <v>Regulatory</v>
      </c>
      <c r="Q13" t="str">
        <f>IF(B13="","",IFERROR(_xlfn.XLOOKUP(B13,TableLibrarySigns[Block],TableLibrarySigns[Normative]),""))</f>
        <v>Spain</v>
      </c>
      <c r="R13" t="str">
        <f>IF(B13="","",IFERROR(_xlfn.XLOOKUP(B13,TableLibrarySigns[Block],TableLibrarySigns[Description]),""))</f>
        <v>End of overtaking restriction</v>
      </c>
      <c r="S13">
        <f t="shared" si="0"/>
        <v>1</v>
      </c>
      <c r="T13">
        <f>IF(B13="","",IFERROR(_xlfn.XLOOKUP(B13,TableLibrarySigns[Block],TableLibrarySigns[UnitTime]),""))</f>
        <v>0.3</v>
      </c>
      <c r="U13">
        <f>IF(B13="","",IFERROR(_xlfn.XLOOKUP(B13,TableLibrarySigns[Block],TableLibrarySigns[UnitCost]),""))</f>
        <v>145</v>
      </c>
      <c r="V13">
        <f t="shared" si="1"/>
        <v>145</v>
      </c>
    </row>
    <row r="14" spans="1:22" ht="16.8" customHeight="1">
      <c r="A14" t="str">
        <f t="shared" si="2"/>
        <v/>
      </c>
      <c r="D14" s="2"/>
      <c r="E14" s="6" t="str">
        <f>IF(SignsTable[[#This Row],[PKValue]]="","",IF(D14="","",INT(D14/1000)&amp;"+"&amp;TEXT(MOD(D14,1000),"000.00")))</f>
        <v/>
      </c>
      <c r="J14" t="str">
        <f>IF(B14="","",IFERROR(_xlfn.XLOOKUP(B14,TableLibrarySigns[Block],TableLibrarySigns[Material]),""))</f>
        <v/>
      </c>
      <c r="K14" t="str">
        <f>IF(B14="","",IFERROR(_xlfn.XLOOKUP(B14,TableLibrarySigns[Block],TableLibrarySigns[RotationMode]),""))</f>
        <v/>
      </c>
      <c r="L14" t="str">
        <f>IF(B14="","",IFERROR(_xlfn.XLOOKUP(B14,TableLibrarySigns[Block],TableLibrarySigns[Layer]),""))</f>
        <v/>
      </c>
      <c r="M14" t="str">
        <f>IF(B14="","",IFERROR(_xlfn.XLOOKUP(B14,TableLibrarySigns[Block],TableLibrarySigns[DWGName]),""))</f>
        <v/>
      </c>
      <c r="N14" t="str">
        <f>IF(B14="","",IFERROR(_xlfn.XLOOKUP(B14,TableLibrarySigns[Block],TableLibrarySigns[SignCode]),""))</f>
        <v/>
      </c>
      <c r="O14" t="str">
        <f>IF(B14="","",IFERROR(_xlfn.XLOOKUP(B14,TableLibrarySigns[Block],TableLibrarySigns[IFCEntity]),""))</f>
        <v/>
      </c>
      <c r="P14" t="str">
        <f>IF(B14="","",IFERROR(_xlfn.XLOOKUP(B14,TableLibrarySigns[Block],TableLibrarySigns[Category]),""))</f>
        <v/>
      </c>
      <c r="Q14" t="str">
        <f>IF(B14="","",IFERROR(_xlfn.XLOOKUP(B14,TableLibrarySigns[Block],TableLibrarySigns[Normative]),""))</f>
        <v/>
      </c>
      <c r="R14" t="str">
        <f>IF(B14="","",IFERROR(_xlfn.XLOOKUP(B14,TableLibrarySigns[Block],TableLibrarySigns[Description]),""))</f>
        <v/>
      </c>
      <c r="S14" t="str">
        <f t="shared" si="0"/>
        <v/>
      </c>
      <c r="T14" t="str">
        <f>IF(B14="","",IFERROR(_xlfn.XLOOKUP(B14,TableLibrarySigns[Block],TableLibrarySigns[UnitTime]),""))</f>
        <v/>
      </c>
      <c r="U14" t="str">
        <f>IF(B14="","",IFERROR(_xlfn.XLOOKUP(B14,TableLibrarySigns[Block],TableLibrarySigns[UnitCost]),""))</f>
        <v/>
      </c>
      <c r="V14" t="str">
        <f t="shared" si="1"/>
        <v/>
      </c>
    </row>
    <row r="15" spans="1:22" ht="16.8" customHeight="1">
      <c r="A15" t="str">
        <f t="shared" si="2"/>
        <v/>
      </c>
      <c r="D15" s="2"/>
      <c r="E15" s="6" t="str">
        <f>IF(SignsTable[[#This Row],[PKValue]]="","",IF(D15="","",INT(D15/1000)&amp;"+"&amp;TEXT(MOD(D15,1000),"000.00")))</f>
        <v/>
      </c>
      <c r="J15" t="str">
        <f>IF(B15="","",IFERROR(_xlfn.XLOOKUP(B15,TableLibrarySigns[Block],TableLibrarySigns[Material]),""))</f>
        <v/>
      </c>
      <c r="K15" t="str">
        <f>IF(B15="","",IFERROR(_xlfn.XLOOKUP(B15,TableLibrarySigns[Block],TableLibrarySigns[RotationMode]),""))</f>
        <v/>
      </c>
      <c r="L15" t="str">
        <f>IF(B15="","",IFERROR(_xlfn.XLOOKUP(B15,TableLibrarySigns[Block],TableLibrarySigns[Layer]),""))</f>
        <v/>
      </c>
      <c r="M15" t="str">
        <f>IF(B15="","",IFERROR(_xlfn.XLOOKUP(B15,TableLibrarySigns[Block],TableLibrarySigns[DWGName]),""))</f>
        <v/>
      </c>
      <c r="N15" t="str">
        <f>IF(B15="","",IFERROR(_xlfn.XLOOKUP(B15,TableLibrarySigns[Block],TableLibrarySigns[SignCode]),""))</f>
        <v/>
      </c>
      <c r="O15" t="str">
        <f>IF(B15="","",IFERROR(_xlfn.XLOOKUP(B15,TableLibrarySigns[Block],TableLibrarySigns[IFCEntity]),""))</f>
        <v/>
      </c>
      <c r="P15" t="str">
        <f>IF(B15="","",IFERROR(_xlfn.XLOOKUP(B15,TableLibrarySigns[Block],TableLibrarySigns[Category]),""))</f>
        <v/>
      </c>
      <c r="Q15" t="str">
        <f>IF(B15="","",IFERROR(_xlfn.XLOOKUP(B15,TableLibrarySigns[Block],TableLibrarySigns[Normative]),""))</f>
        <v/>
      </c>
      <c r="R15" t="str">
        <f>IF(B15="","",IFERROR(_xlfn.XLOOKUP(B15,TableLibrarySigns[Block],TableLibrarySigns[Description]),""))</f>
        <v/>
      </c>
      <c r="S15" t="str">
        <f t="shared" si="0"/>
        <v/>
      </c>
      <c r="T15" t="str">
        <f>IF(B15="","",IFERROR(_xlfn.XLOOKUP(B15,TableLibrarySigns[Block],TableLibrarySigns[UnitTime]),""))</f>
        <v/>
      </c>
      <c r="U15" t="str">
        <f>IF(B15="","",IFERROR(_xlfn.XLOOKUP(B15,TableLibrarySigns[Block],TableLibrarySigns[UnitCost]),""))</f>
        <v/>
      </c>
      <c r="V15" t="str">
        <f t="shared" si="1"/>
        <v/>
      </c>
    </row>
    <row r="16" spans="1:22" ht="16.8" customHeight="1">
      <c r="A16" t="str">
        <f t="shared" si="2"/>
        <v/>
      </c>
      <c r="D16" s="2"/>
      <c r="E16" s="6" t="str">
        <f>IF(SignsTable[[#This Row],[PKValue]]="","",IF(D16="","",INT(D16/1000)&amp;"+"&amp;TEXT(MOD(D16,1000),"000.00")))</f>
        <v/>
      </c>
      <c r="J16" t="str">
        <f>IF(B16="","",IFERROR(_xlfn.XLOOKUP(B16,TableLibrarySigns[Block],TableLibrarySigns[Material]),""))</f>
        <v/>
      </c>
      <c r="K16" t="str">
        <f>IF(B16="","",IFERROR(_xlfn.XLOOKUP(B16,TableLibrarySigns[Block],TableLibrarySigns[RotationMode]),""))</f>
        <v/>
      </c>
      <c r="L16" t="str">
        <f>IF(B16="","",IFERROR(_xlfn.XLOOKUP(B16,TableLibrarySigns[Block],TableLibrarySigns[Layer]),""))</f>
        <v/>
      </c>
      <c r="M16" t="str">
        <f>IF(B16="","",IFERROR(_xlfn.XLOOKUP(B16,TableLibrarySigns[Block],TableLibrarySigns[DWGName]),""))</f>
        <v/>
      </c>
      <c r="N16" t="str">
        <f>IF(B16="","",IFERROR(_xlfn.XLOOKUP(B16,TableLibrarySigns[Block],TableLibrarySigns[SignCode]),""))</f>
        <v/>
      </c>
      <c r="O16" t="str">
        <f>IF(B16="","",IFERROR(_xlfn.XLOOKUP(B16,TableLibrarySigns[Block],TableLibrarySigns[IFCEntity]),""))</f>
        <v/>
      </c>
      <c r="P16" t="str">
        <f>IF(B16="","",IFERROR(_xlfn.XLOOKUP(B16,TableLibrarySigns[Block],TableLibrarySigns[Category]),""))</f>
        <v/>
      </c>
      <c r="Q16" t="str">
        <f>IF(B16="","",IFERROR(_xlfn.XLOOKUP(B16,TableLibrarySigns[Block],TableLibrarySigns[Normative]),""))</f>
        <v/>
      </c>
      <c r="R16" t="str">
        <f>IF(B16="","",IFERROR(_xlfn.XLOOKUP(B16,TableLibrarySigns[Block],TableLibrarySigns[Description]),""))</f>
        <v/>
      </c>
      <c r="S16" t="str">
        <f t="shared" si="0"/>
        <v/>
      </c>
      <c r="T16" t="str">
        <f>IF(B16="","",IFERROR(_xlfn.XLOOKUP(B16,TableLibrarySigns[Block],TableLibrarySigns[UnitTime]),""))</f>
        <v/>
      </c>
      <c r="U16" t="str">
        <f>IF(B16="","",IFERROR(_xlfn.XLOOKUP(B16,TableLibrarySigns[Block],TableLibrarySigns[UnitCost]),""))</f>
        <v/>
      </c>
      <c r="V16" t="str">
        <f t="shared" si="1"/>
        <v/>
      </c>
    </row>
    <row r="17" spans="1:22" ht="16.8" customHeight="1">
      <c r="A17" t="str">
        <f t="shared" si="2"/>
        <v/>
      </c>
      <c r="D17" s="2"/>
      <c r="E17" s="6" t="str">
        <f>IF(SignsTable[[#This Row],[PKValue]]="","",IF(D17="","",INT(D17/1000)&amp;"+"&amp;TEXT(MOD(D17,1000),"000.00")))</f>
        <v/>
      </c>
      <c r="J17" t="str">
        <f>IF(B17="","",IFERROR(_xlfn.XLOOKUP(B17,TableLibrarySigns[Block],TableLibrarySigns[Material]),""))</f>
        <v/>
      </c>
      <c r="K17" t="str">
        <f>IF(B17="","",IFERROR(_xlfn.XLOOKUP(B17,TableLibrarySigns[Block],TableLibrarySigns[RotationMode]),""))</f>
        <v/>
      </c>
      <c r="L17" t="str">
        <f>IF(B17="","",IFERROR(_xlfn.XLOOKUP(B17,TableLibrarySigns[Block],TableLibrarySigns[Layer]),""))</f>
        <v/>
      </c>
      <c r="M17" t="str">
        <f>IF(B17="","",IFERROR(_xlfn.XLOOKUP(B17,TableLibrarySigns[Block],TableLibrarySigns[DWGName]),""))</f>
        <v/>
      </c>
      <c r="N17" t="str">
        <f>IF(B17="","",IFERROR(_xlfn.XLOOKUP(B17,TableLibrarySigns[Block],TableLibrarySigns[SignCode]),""))</f>
        <v/>
      </c>
      <c r="O17" t="str">
        <f>IF(B17="","",IFERROR(_xlfn.XLOOKUP(B17,TableLibrarySigns[Block],TableLibrarySigns[IFCEntity]),""))</f>
        <v/>
      </c>
      <c r="P17" t="str">
        <f>IF(B17="","",IFERROR(_xlfn.XLOOKUP(B17,TableLibrarySigns[Block],TableLibrarySigns[Category]),""))</f>
        <v/>
      </c>
      <c r="Q17" t="str">
        <f>IF(B17="","",IFERROR(_xlfn.XLOOKUP(B17,TableLibrarySigns[Block],TableLibrarySigns[Normative]),""))</f>
        <v/>
      </c>
      <c r="R17" t="str">
        <f>IF(B17="","",IFERROR(_xlfn.XLOOKUP(B17,TableLibrarySigns[Block],TableLibrarySigns[Description]),""))</f>
        <v/>
      </c>
      <c r="S17" t="str">
        <f t="shared" si="0"/>
        <v/>
      </c>
      <c r="T17" t="str">
        <f>IF(B17="","",IFERROR(_xlfn.XLOOKUP(B17,TableLibrarySigns[Block],TableLibrarySigns[UnitTime]),""))</f>
        <v/>
      </c>
      <c r="U17" t="str">
        <f>IF(B17="","",IFERROR(_xlfn.XLOOKUP(B17,TableLibrarySigns[Block],TableLibrarySigns[UnitCost]),""))</f>
        <v/>
      </c>
      <c r="V17" t="str">
        <f t="shared" si="1"/>
        <v/>
      </c>
    </row>
    <row r="18" spans="1:22" ht="16.8" customHeight="1">
      <c r="A18" t="str">
        <f t="shared" si="2"/>
        <v/>
      </c>
      <c r="D18" s="2"/>
      <c r="E18" s="6" t="str">
        <f>IF(SignsTable[[#This Row],[PKValue]]="","",IF(D18="","",INT(D18/1000)&amp;"+"&amp;TEXT(MOD(D18,1000),"000.00")))</f>
        <v/>
      </c>
      <c r="J18" t="str">
        <f>IF(B18="","",IFERROR(_xlfn.XLOOKUP(B18,TableLibrarySigns[Block],TableLibrarySigns[Material]),""))</f>
        <v/>
      </c>
      <c r="K18" t="str">
        <f>IF(B18="","",IFERROR(_xlfn.XLOOKUP(B18,TableLibrarySigns[Block],TableLibrarySigns[RotationMode]),""))</f>
        <v/>
      </c>
      <c r="L18" t="str">
        <f>IF(B18="","",IFERROR(_xlfn.XLOOKUP(B18,TableLibrarySigns[Block],TableLibrarySigns[Layer]),""))</f>
        <v/>
      </c>
      <c r="M18" t="str">
        <f>IF(B18="","",IFERROR(_xlfn.XLOOKUP(B18,TableLibrarySigns[Block],TableLibrarySigns[DWGName]),""))</f>
        <v/>
      </c>
      <c r="N18" t="str">
        <f>IF(B18="","",IFERROR(_xlfn.XLOOKUP(B18,TableLibrarySigns[Block],TableLibrarySigns[SignCode]),""))</f>
        <v/>
      </c>
      <c r="O18" t="str">
        <f>IF(B18="","",IFERROR(_xlfn.XLOOKUP(B18,TableLibrarySigns[Block],TableLibrarySigns[IFCEntity]),""))</f>
        <v/>
      </c>
      <c r="P18" t="str">
        <f>IF(B18="","",IFERROR(_xlfn.XLOOKUP(B18,TableLibrarySigns[Block],TableLibrarySigns[Category]),""))</f>
        <v/>
      </c>
      <c r="Q18" t="str">
        <f>IF(B18="","",IFERROR(_xlfn.XLOOKUP(B18,TableLibrarySigns[Block],TableLibrarySigns[Normative]),""))</f>
        <v/>
      </c>
      <c r="R18" t="str">
        <f>IF(B18="","",IFERROR(_xlfn.XLOOKUP(B18,TableLibrarySigns[Block],TableLibrarySigns[Description]),""))</f>
        <v/>
      </c>
      <c r="S18" t="str">
        <f t="shared" si="0"/>
        <v/>
      </c>
      <c r="T18" t="str">
        <f>IF(B18="","",IFERROR(_xlfn.XLOOKUP(B18,TableLibrarySigns[Block],TableLibrarySigns[UnitTime]),""))</f>
        <v/>
      </c>
      <c r="U18" t="str">
        <f>IF(B18="","",IFERROR(_xlfn.XLOOKUP(B18,TableLibrarySigns[Block],TableLibrarySigns[UnitCost]),""))</f>
        <v/>
      </c>
      <c r="V18" t="str">
        <f t="shared" si="1"/>
        <v/>
      </c>
    </row>
    <row r="19" spans="1:22" ht="16.8" customHeight="1">
      <c r="A19" t="str">
        <f t="shared" si="2"/>
        <v/>
      </c>
      <c r="D19" s="2"/>
      <c r="E19" s="6" t="str">
        <f>IF(SignsTable[[#This Row],[PKValue]]="","",IF(D19="","",INT(D19/1000)&amp;"+"&amp;TEXT(MOD(D19,1000),"000.00")))</f>
        <v/>
      </c>
      <c r="J19" t="str">
        <f>IF(B19="","",IFERROR(_xlfn.XLOOKUP(B19,TableLibrarySigns[Block],TableLibrarySigns[Material]),""))</f>
        <v/>
      </c>
      <c r="K19" t="str">
        <f>IF(B19="","",IFERROR(_xlfn.XLOOKUP(B19,TableLibrarySigns[Block],TableLibrarySigns[RotationMode]),""))</f>
        <v/>
      </c>
      <c r="L19" t="str">
        <f>IF(B19="","",IFERROR(_xlfn.XLOOKUP(B19,TableLibrarySigns[Block],TableLibrarySigns[Layer]),""))</f>
        <v/>
      </c>
      <c r="M19" t="str">
        <f>IF(B19="","",IFERROR(_xlfn.XLOOKUP(B19,TableLibrarySigns[Block],TableLibrarySigns[DWGName]),""))</f>
        <v/>
      </c>
      <c r="N19" t="str">
        <f>IF(B19="","",IFERROR(_xlfn.XLOOKUP(B19,TableLibrarySigns[Block],TableLibrarySigns[SignCode]),""))</f>
        <v/>
      </c>
      <c r="O19" t="str">
        <f>IF(B19="","",IFERROR(_xlfn.XLOOKUP(B19,TableLibrarySigns[Block],TableLibrarySigns[IFCEntity]),""))</f>
        <v/>
      </c>
      <c r="P19" t="str">
        <f>IF(B19="","",IFERROR(_xlfn.XLOOKUP(B19,TableLibrarySigns[Block],TableLibrarySigns[Category]),""))</f>
        <v/>
      </c>
      <c r="Q19" t="str">
        <f>IF(B19="","",IFERROR(_xlfn.XLOOKUP(B19,TableLibrarySigns[Block],TableLibrarySigns[Normative]),""))</f>
        <v/>
      </c>
      <c r="R19" t="str">
        <f>IF(B19="","",IFERROR(_xlfn.XLOOKUP(B19,TableLibrarySigns[Block],TableLibrarySigns[Description]),""))</f>
        <v/>
      </c>
      <c r="S19" t="str">
        <f t="shared" si="0"/>
        <v/>
      </c>
      <c r="T19" t="str">
        <f>IF(B19="","",IFERROR(_xlfn.XLOOKUP(B19,TableLibrarySigns[Block],TableLibrarySigns[UnitTime]),""))</f>
        <v/>
      </c>
      <c r="U19" t="str">
        <f>IF(B19="","",IFERROR(_xlfn.XLOOKUP(B19,TableLibrarySigns[Block],TableLibrarySigns[UnitCost]),""))</f>
        <v/>
      </c>
      <c r="V19" t="str">
        <f t="shared" si="1"/>
        <v/>
      </c>
    </row>
    <row r="20" spans="1:22" ht="16.8" customHeight="1">
      <c r="A20" t="str">
        <f t="shared" si="2"/>
        <v/>
      </c>
      <c r="D20" s="2"/>
      <c r="E20" s="6" t="str">
        <f>IF(SignsTable[[#This Row],[PKValue]]="","",IF(D20="","",INT(D20/1000)&amp;"+"&amp;TEXT(MOD(D20,1000),"000.00")))</f>
        <v/>
      </c>
      <c r="J20" t="str">
        <f>IF(B20="","",IFERROR(_xlfn.XLOOKUP(B20,TableLibrarySigns[Block],TableLibrarySigns[Material]),""))</f>
        <v/>
      </c>
      <c r="K20" t="str">
        <f>IF(B20="","",IFERROR(_xlfn.XLOOKUP(B20,TableLibrarySigns[Block],TableLibrarySigns[RotationMode]),""))</f>
        <v/>
      </c>
      <c r="L20" t="str">
        <f>IF(B20="","",IFERROR(_xlfn.XLOOKUP(B20,TableLibrarySigns[Block],TableLibrarySigns[Layer]),""))</f>
        <v/>
      </c>
      <c r="M20" t="str">
        <f>IF(B20="","",IFERROR(_xlfn.XLOOKUP(B20,TableLibrarySigns[Block],TableLibrarySigns[DWGName]),""))</f>
        <v/>
      </c>
      <c r="N20" t="str">
        <f>IF(B20="","",IFERROR(_xlfn.XLOOKUP(B20,TableLibrarySigns[Block],TableLibrarySigns[SignCode]),""))</f>
        <v/>
      </c>
      <c r="O20" t="str">
        <f>IF(B20="","",IFERROR(_xlfn.XLOOKUP(B20,TableLibrarySigns[Block],TableLibrarySigns[IFCEntity]),""))</f>
        <v/>
      </c>
      <c r="P20" t="str">
        <f>IF(B20="","",IFERROR(_xlfn.XLOOKUP(B20,TableLibrarySigns[Block],TableLibrarySigns[Category]),""))</f>
        <v/>
      </c>
      <c r="Q20" t="str">
        <f>IF(B20="","",IFERROR(_xlfn.XLOOKUP(B20,TableLibrarySigns[Block],TableLibrarySigns[Normative]),""))</f>
        <v/>
      </c>
      <c r="R20" t="str">
        <f>IF(B20="","",IFERROR(_xlfn.XLOOKUP(B20,TableLibrarySigns[Block],TableLibrarySigns[Description]),""))</f>
        <v/>
      </c>
      <c r="S20" t="str">
        <f t="shared" si="0"/>
        <v/>
      </c>
      <c r="T20" t="str">
        <f>IF(B20="","",IFERROR(_xlfn.XLOOKUP(B20,TableLibrarySigns[Block],TableLibrarySigns[UnitTime]),""))</f>
        <v/>
      </c>
      <c r="U20" t="str">
        <f>IF(B20="","",IFERROR(_xlfn.XLOOKUP(B20,TableLibrarySigns[Block],TableLibrarySigns[UnitCost]),""))</f>
        <v/>
      </c>
      <c r="V20" t="str">
        <f t="shared" si="1"/>
        <v/>
      </c>
    </row>
    <row r="21" spans="1:22" ht="16.8" customHeight="1">
      <c r="A21" t="str">
        <f t="shared" si="2"/>
        <v/>
      </c>
      <c r="D21" s="2"/>
      <c r="E21" s="6" t="str">
        <f>IF(SignsTable[[#This Row],[PKValue]]="","",IF(D21="","",INT(D21/1000)&amp;"+"&amp;TEXT(MOD(D21,1000),"000.00")))</f>
        <v/>
      </c>
      <c r="J21" t="str">
        <f>IF(B21="","",IFERROR(_xlfn.XLOOKUP(B21,TableLibrarySigns[Block],TableLibrarySigns[Material]),""))</f>
        <v/>
      </c>
      <c r="K21" t="str">
        <f>IF(B21="","",IFERROR(_xlfn.XLOOKUP(B21,TableLibrarySigns[Block],TableLibrarySigns[RotationMode]),""))</f>
        <v/>
      </c>
      <c r="L21" t="str">
        <f>IF(B21="","",IFERROR(_xlfn.XLOOKUP(B21,TableLibrarySigns[Block],TableLibrarySigns[Layer]),""))</f>
        <v/>
      </c>
      <c r="M21" t="str">
        <f>IF(B21="","",IFERROR(_xlfn.XLOOKUP(B21,TableLibrarySigns[Block],TableLibrarySigns[DWGName]),""))</f>
        <v/>
      </c>
      <c r="N21" t="str">
        <f>IF(B21="","",IFERROR(_xlfn.XLOOKUP(B21,TableLibrarySigns[Block],TableLibrarySigns[SignCode]),""))</f>
        <v/>
      </c>
      <c r="O21" t="str">
        <f>IF(B21="","",IFERROR(_xlfn.XLOOKUP(B21,TableLibrarySigns[Block],TableLibrarySigns[IFCEntity]),""))</f>
        <v/>
      </c>
      <c r="P21" t="str">
        <f>IF(B21="","",IFERROR(_xlfn.XLOOKUP(B21,TableLibrarySigns[Block],TableLibrarySigns[Category]),""))</f>
        <v/>
      </c>
      <c r="Q21" t="str">
        <f>IF(B21="","",IFERROR(_xlfn.XLOOKUP(B21,TableLibrarySigns[Block],TableLibrarySigns[Normative]),""))</f>
        <v/>
      </c>
      <c r="R21" t="str">
        <f>IF(B21="","",IFERROR(_xlfn.XLOOKUP(B21,TableLibrarySigns[Block],TableLibrarySigns[Description]),""))</f>
        <v/>
      </c>
      <c r="S21" t="str">
        <f t="shared" si="0"/>
        <v/>
      </c>
      <c r="T21" t="str">
        <f>IF(B21="","",IFERROR(_xlfn.XLOOKUP(B21,TableLibrarySigns[Block],TableLibrarySigns[UnitTime]),""))</f>
        <v/>
      </c>
      <c r="U21" t="str">
        <f>IF(B21="","",IFERROR(_xlfn.XLOOKUP(B21,TableLibrarySigns[Block],TableLibrarySigns[UnitCost]),""))</f>
        <v/>
      </c>
      <c r="V21" t="str">
        <f t="shared" si="1"/>
        <v/>
      </c>
    </row>
    <row r="22" spans="1:22" ht="16.8" customHeight="1">
      <c r="A22" t="str">
        <f t="shared" si="2"/>
        <v/>
      </c>
      <c r="D22" s="2"/>
      <c r="E22" s="6" t="str">
        <f>IF(SignsTable[[#This Row],[PKValue]]="","",IF(D22="","",INT(D22/1000)&amp;"+"&amp;TEXT(MOD(D22,1000),"000.00")))</f>
        <v/>
      </c>
      <c r="J22" t="str">
        <f>IF(B22="","",IFERROR(_xlfn.XLOOKUP(B22,TableLibrarySigns[Block],TableLibrarySigns[Material]),""))</f>
        <v/>
      </c>
      <c r="K22" t="str">
        <f>IF(B22="","",IFERROR(_xlfn.XLOOKUP(B22,TableLibrarySigns[Block],TableLibrarySigns[RotationMode]),""))</f>
        <v/>
      </c>
      <c r="L22" t="str">
        <f>IF(B22="","",IFERROR(_xlfn.XLOOKUP(B22,TableLibrarySigns[Block],TableLibrarySigns[Layer]),""))</f>
        <v/>
      </c>
      <c r="M22" t="str">
        <f>IF(B22="","",IFERROR(_xlfn.XLOOKUP(B22,TableLibrarySigns[Block],TableLibrarySigns[DWGName]),""))</f>
        <v/>
      </c>
      <c r="N22" t="str">
        <f>IF(B22="","",IFERROR(_xlfn.XLOOKUP(B22,TableLibrarySigns[Block],TableLibrarySigns[SignCode]),""))</f>
        <v/>
      </c>
      <c r="O22" t="str">
        <f>IF(B22="","",IFERROR(_xlfn.XLOOKUP(B22,TableLibrarySigns[Block],TableLibrarySigns[IFCEntity]),""))</f>
        <v/>
      </c>
      <c r="P22" t="str">
        <f>IF(B22="","",IFERROR(_xlfn.XLOOKUP(B22,TableLibrarySigns[Block],TableLibrarySigns[Category]),""))</f>
        <v/>
      </c>
      <c r="Q22" t="str">
        <f>IF(B22="","",IFERROR(_xlfn.XLOOKUP(B22,TableLibrarySigns[Block],TableLibrarySigns[Normative]),""))</f>
        <v/>
      </c>
      <c r="R22" t="str">
        <f>IF(B22="","",IFERROR(_xlfn.XLOOKUP(B22,TableLibrarySigns[Block],TableLibrarySigns[Description]),""))</f>
        <v/>
      </c>
      <c r="S22" t="str">
        <f t="shared" si="0"/>
        <v/>
      </c>
      <c r="T22" t="str">
        <f>IF(B22="","",IFERROR(_xlfn.XLOOKUP(B22,TableLibrarySigns[Block],TableLibrarySigns[UnitTime]),""))</f>
        <v/>
      </c>
      <c r="U22" t="str">
        <f>IF(B22="","",IFERROR(_xlfn.XLOOKUP(B22,TableLibrarySigns[Block],TableLibrarySigns[UnitCost]),""))</f>
        <v/>
      </c>
      <c r="V22" t="str">
        <f t="shared" si="1"/>
        <v/>
      </c>
    </row>
    <row r="23" spans="1:22" ht="16.8" customHeight="1">
      <c r="A23" t="str">
        <f t="shared" si="2"/>
        <v/>
      </c>
      <c r="D23" s="2"/>
      <c r="E23" s="6" t="str">
        <f>IF(SignsTable[[#This Row],[PKValue]]="","",IF(D23="","",INT(D23/1000)&amp;"+"&amp;TEXT(MOD(D23,1000),"000.00")))</f>
        <v/>
      </c>
      <c r="J23" t="str">
        <f>IF(B23="","",IFERROR(_xlfn.XLOOKUP(B23,TableLibrarySigns[Block],TableLibrarySigns[Material]),""))</f>
        <v/>
      </c>
      <c r="K23" t="str">
        <f>IF(B23="","",IFERROR(_xlfn.XLOOKUP(B23,TableLibrarySigns[Block],TableLibrarySigns[RotationMode]),""))</f>
        <v/>
      </c>
      <c r="L23" t="str">
        <f>IF(B23="","",IFERROR(_xlfn.XLOOKUP(B23,TableLibrarySigns[Block],TableLibrarySigns[Layer]),""))</f>
        <v/>
      </c>
      <c r="M23" t="str">
        <f>IF(B23="","",IFERROR(_xlfn.XLOOKUP(B23,TableLibrarySigns[Block],TableLibrarySigns[DWGName]),""))</f>
        <v/>
      </c>
      <c r="N23" t="str">
        <f>IF(B23="","",IFERROR(_xlfn.XLOOKUP(B23,TableLibrarySigns[Block],TableLibrarySigns[SignCode]),""))</f>
        <v/>
      </c>
      <c r="O23" t="str">
        <f>IF(B23="","",IFERROR(_xlfn.XLOOKUP(B23,TableLibrarySigns[Block],TableLibrarySigns[IFCEntity]),""))</f>
        <v/>
      </c>
      <c r="P23" t="str">
        <f>IF(B23="","",IFERROR(_xlfn.XLOOKUP(B23,TableLibrarySigns[Block],TableLibrarySigns[Category]),""))</f>
        <v/>
      </c>
      <c r="Q23" t="str">
        <f>IF(B23="","",IFERROR(_xlfn.XLOOKUP(B23,TableLibrarySigns[Block],TableLibrarySigns[Normative]),""))</f>
        <v/>
      </c>
      <c r="R23" t="str">
        <f>IF(B23="","",IFERROR(_xlfn.XLOOKUP(B23,TableLibrarySigns[Block],TableLibrarySigns[Description]),""))</f>
        <v/>
      </c>
      <c r="S23" t="str">
        <f t="shared" si="0"/>
        <v/>
      </c>
      <c r="T23" t="str">
        <f>IF(B23="","",IFERROR(_xlfn.XLOOKUP(B23,TableLibrarySigns[Block],TableLibrarySigns[UnitTime]),""))</f>
        <v/>
      </c>
      <c r="U23" t="str">
        <f>IF(B23="","",IFERROR(_xlfn.XLOOKUP(B23,TableLibrarySigns[Block],TableLibrarySigns[UnitCost]),""))</f>
        <v/>
      </c>
      <c r="V23" t="str">
        <f t="shared" si="1"/>
        <v/>
      </c>
    </row>
    <row r="24" spans="1:22" ht="16.8" customHeight="1">
      <c r="A24" t="str">
        <f t="shared" si="2"/>
        <v/>
      </c>
      <c r="D24" s="2"/>
      <c r="E24" s="6" t="str">
        <f>IF(SignsTable[[#This Row],[PKValue]]="","",IF(D24="","",INT(D24/1000)&amp;"+"&amp;TEXT(MOD(D24,1000),"000.00")))</f>
        <v/>
      </c>
      <c r="J24" t="str">
        <f>IF(B24="","",IFERROR(_xlfn.XLOOKUP(B24,TableLibrarySigns[Block],TableLibrarySigns[Material]),""))</f>
        <v/>
      </c>
      <c r="K24" t="str">
        <f>IF(B24="","",IFERROR(_xlfn.XLOOKUP(B24,TableLibrarySigns[Block],TableLibrarySigns[RotationMode]),""))</f>
        <v/>
      </c>
      <c r="L24" t="str">
        <f>IF(B24="","",IFERROR(_xlfn.XLOOKUP(B24,TableLibrarySigns[Block],TableLibrarySigns[Layer]),""))</f>
        <v/>
      </c>
      <c r="M24" t="str">
        <f>IF(B24="","",IFERROR(_xlfn.XLOOKUP(B24,TableLibrarySigns[Block],TableLibrarySigns[DWGName]),""))</f>
        <v/>
      </c>
      <c r="N24" t="str">
        <f>IF(B24="","",IFERROR(_xlfn.XLOOKUP(B24,TableLibrarySigns[Block],TableLibrarySigns[SignCode]),""))</f>
        <v/>
      </c>
      <c r="O24" t="str">
        <f>IF(B24="","",IFERROR(_xlfn.XLOOKUP(B24,TableLibrarySigns[Block],TableLibrarySigns[IFCEntity]),""))</f>
        <v/>
      </c>
      <c r="P24" t="str">
        <f>IF(B24="","",IFERROR(_xlfn.XLOOKUP(B24,TableLibrarySigns[Block],TableLibrarySigns[Category]),""))</f>
        <v/>
      </c>
      <c r="Q24" t="str">
        <f>IF(B24="","",IFERROR(_xlfn.XLOOKUP(B24,TableLibrarySigns[Block],TableLibrarySigns[Normative]),""))</f>
        <v/>
      </c>
      <c r="R24" t="str">
        <f>IF(B24="","",IFERROR(_xlfn.XLOOKUP(B24,TableLibrarySigns[Block],TableLibrarySigns[Description]),""))</f>
        <v/>
      </c>
      <c r="S24" t="str">
        <f t="shared" si="0"/>
        <v/>
      </c>
      <c r="T24" t="str">
        <f>IF(B24="","",IFERROR(_xlfn.XLOOKUP(B24,TableLibrarySigns[Block],TableLibrarySigns[UnitTime]),""))</f>
        <v/>
      </c>
      <c r="U24" t="str">
        <f>IF(B24="","",IFERROR(_xlfn.XLOOKUP(B24,TableLibrarySigns[Block],TableLibrarySigns[UnitCost]),""))</f>
        <v/>
      </c>
      <c r="V24" t="str">
        <f t="shared" si="1"/>
        <v/>
      </c>
    </row>
    <row r="25" spans="1:22" ht="16.8" customHeight="1">
      <c r="A25" t="str">
        <f t="shared" si="2"/>
        <v/>
      </c>
      <c r="D25" s="2"/>
      <c r="E25" s="6" t="str">
        <f>IF(SignsTable[[#This Row],[PKValue]]="","",IF(D25="","",INT(D25/1000)&amp;"+"&amp;TEXT(MOD(D25,1000),"000.00")))</f>
        <v/>
      </c>
      <c r="J25" t="str">
        <f>IF(B25="","",IFERROR(_xlfn.XLOOKUP(B25,TableLibrarySigns[Block],TableLibrarySigns[Material]),""))</f>
        <v/>
      </c>
      <c r="K25" t="str">
        <f>IF(B25="","",IFERROR(_xlfn.XLOOKUP(B25,TableLibrarySigns[Block],TableLibrarySigns[RotationMode]),""))</f>
        <v/>
      </c>
      <c r="L25" t="str">
        <f>IF(B25="","",IFERROR(_xlfn.XLOOKUP(B25,TableLibrarySigns[Block],TableLibrarySigns[Layer]),""))</f>
        <v/>
      </c>
      <c r="M25" t="str">
        <f>IF(B25="","",IFERROR(_xlfn.XLOOKUP(B25,TableLibrarySigns[Block],TableLibrarySigns[DWGName]),""))</f>
        <v/>
      </c>
      <c r="N25" t="str">
        <f>IF(B25="","",IFERROR(_xlfn.XLOOKUP(B25,TableLibrarySigns[Block],TableLibrarySigns[SignCode]),""))</f>
        <v/>
      </c>
      <c r="O25" t="str">
        <f>IF(B25="","",IFERROR(_xlfn.XLOOKUP(B25,TableLibrarySigns[Block],TableLibrarySigns[IFCEntity]),""))</f>
        <v/>
      </c>
      <c r="P25" t="str">
        <f>IF(B25="","",IFERROR(_xlfn.XLOOKUP(B25,TableLibrarySigns[Block],TableLibrarySigns[Category]),""))</f>
        <v/>
      </c>
      <c r="Q25" t="str">
        <f>IF(B25="","",IFERROR(_xlfn.XLOOKUP(B25,TableLibrarySigns[Block],TableLibrarySigns[Normative]),""))</f>
        <v/>
      </c>
      <c r="R25" t="str">
        <f>IF(B25="","",IFERROR(_xlfn.XLOOKUP(B25,TableLibrarySigns[Block],TableLibrarySigns[Description]),""))</f>
        <v/>
      </c>
      <c r="S25" t="str">
        <f t="shared" si="0"/>
        <v/>
      </c>
      <c r="T25" t="str">
        <f>IF(B25="","",IFERROR(_xlfn.XLOOKUP(B25,TableLibrarySigns[Block],TableLibrarySigns[UnitTime]),""))</f>
        <v/>
      </c>
      <c r="U25" t="str">
        <f>IF(B25="","",IFERROR(_xlfn.XLOOKUP(B25,TableLibrarySigns[Block],TableLibrarySigns[UnitCost]),""))</f>
        <v/>
      </c>
      <c r="V25" t="str">
        <f t="shared" si="1"/>
        <v/>
      </c>
    </row>
    <row r="26" spans="1:22" ht="16.8" customHeight="1">
      <c r="A26" t="str">
        <f t="shared" si="2"/>
        <v/>
      </c>
      <c r="D26" s="2"/>
      <c r="E26" s="6" t="str">
        <f>IF(SignsTable[[#This Row],[PKValue]]="","",IF(D26="","",INT(D26/1000)&amp;"+"&amp;TEXT(MOD(D26,1000),"000.00")))</f>
        <v/>
      </c>
      <c r="J26" t="str">
        <f>IF(B26="","",IFERROR(_xlfn.XLOOKUP(B26,TableLibrarySigns[Block],TableLibrarySigns[Material]),""))</f>
        <v/>
      </c>
      <c r="K26" t="str">
        <f>IF(B26="","",IFERROR(_xlfn.XLOOKUP(B26,TableLibrarySigns[Block],TableLibrarySigns[RotationMode]),""))</f>
        <v/>
      </c>
      <c r="L26" t="str">
        <f>IF(B26="","",IFERROR(_xlfn.XLOOKUP(B26,TableLibrarySigns[Block],TableLibrarySigns[Layer]),""))</f>
        <v/>
      </c>
      <c r="M26" t="str">
        <f>IF(B26="","",IFERROR(_xlfn.XLOOKUP(B26,TableLibrarySigns[Block],TableLibrarySigns[DWGName]),""))</f>
        <v/>
      </c>
      <c r="N26" t="str">
        <f>IF(B26="","",IFERROR(_xlfn.XLOOKUP(B26,TableLibrarySigns[Block],TableLibrarySigns[SignCode]),""))</f>
        <v/>
      </c>
      <c r="O26" t="str">
        <f>IF(B26="","",IFERROR(_xlfn.XLOOKUP(B26,TableLibrarySigns[Block],TableLibrarySigns[IFCEntity]),""))</f>
        <v/>
      </c>
      <c r="P26" t="str">
        <f>IF(B26="","",IFERROR(_xlfn.XLOOKUP(B26,TableLibrarySigns[Block],TableLibrarySigns[Category]),""))</f>
        <v/>
      </c>
      <c r="Q26" t="str">
        <f>IF(B26="","",IFERROR(_xlfn.XLOOKUP(B26,TableLibrarySigns[Block],TableLibrarySigns[Normative]),""))</f>
        <v/>
      </c>
      <c r="R26" t="str">
        <f>IF(B26="","",IFERROR(_xlfn.XLOOKUP(B26,TableLibrarySigns[Block],TableLibrarySigns[Description]),""))</f>
        <v/>
      </c>
      <c r="S26" t="str">
        <f t="shared" si="0"/>
        <v/>
      </c>
      <c r="T26" t="str">
        <f>IF(B26="","",IFERROR(_xlfn.XLOOKUP(B26,TableLibrarySigns[Block],TableLibrarySigns[UnitTime]),""))</f>
        <v/>
      </c>
      <c r="U26" t="str">
        <f>IF(B26="","",IFERROR(_xlfn.XLOOKUP(B26,TableLibrarySigns[Block],TableLibrarySigns[UnitCost]),""))</f>
        <v/>
      </c>
      <c r="V26" t="str">
        <f t="shared" si="1"/>
        <v/>
      </c>
    </row>
    <row r="27" spans="1:22" ht="16.8" customHeight="1">
      <c r="A27" t="str">
        <f t="shared" si="2"/>
        <v/>
      </c>
      <c r="D27" s="2"/>
      <c r="E27" s="6" t="str">
        <f>IF(SignsTable[[#This Row],[PKValue]]="","",IF(D27="","",INT(D27/1000)&amp;"+"&amp;TEXT(MOD(D27,1000),"000.00")))</f>
        <v/>
      </c>
      <c r="J27" t="str">
        <f>IF(B27="","",IFERROR(_xlfn.XLOOKUP(B27,TableLibrarySigns[Block],TableLibrarySigns[Material]),""))</f>
        <v/>
      </c>
      <c r="K27" t="str">
        <f>IF(B27="","",IFERROR(_xlfn.XLOOKUP(B27,TableLibrarySigns[Block],TableLibrarySigns[RotationMode]),""))</f>
        <v/>
      </c>
      <c r="L27" t="str">
        <f>IF(B27="","",IFERROR(_xlfn.XLOOKUP(B27,TableLibrarySigns[Block],TableLibrarySigns[Layer]),""))</f>
        <v/>
      </c>
      <c r="M27" t="str">
        <f>IF(B27="","",IFERROR(_xlfn.XLOOKUP(B27,TableLibrarySigns[Block],TableLibrarySigns[DWGName]),""))</f>
        <v/>
      </c>
      <c r="N27" t="str">
        <f>IF(B27="","",IFERROR(_xlfn.XLOOKUP(B27,TableLibrarySigns[Block],TableLibrarySigns[SignCode]),""))</f>
        <v/>
      </c>
      <c r="O27" t="str">
        <f>IF(B27="","",IFERROR(_xlfn.XLOOKUP(B27,TableLibrarySigns[Block],TableLibrarySigns[IFCEntity]),""))</f>
        <v/>
      </c>
      <c r="P27" t="str">
        <f>IF(B27="","",IFERROR(_xlfn.XLOOKUP(B27,TableLibrarySigns[Block],TableLibrarySigns[Category]),""))</f>
        <v/>
      </c>
      <c r="Q27" t="str">
        <f>IF(B27="","",IFERROR(_xlfn.XLOOKUP(B27,TableLibrarySigns[Block],TableLibrarySigns[Normative]),""))</f>
        <v/>
      </c>
      <c r="R27" t="str">
        <f>IF(B27="","",IFERROR(_xlfn.XLOOKUP(B27,TableLibrarySigns[Block],TableLibrarySigns[Description]),""))</f>
        <v/>
      </c>
      <c r="S27" t="str">
        <f t="shared" si="0"/>
        <v/>
      </c>
      <c r="T27" t="str">
        <f>IF(B27="","",IFERROR(_xlfn.XLOOKUP(B27,TableLibrarySigns[Block],TableLibrarySigns[UnitTime]),""))</f>
        <v/>
      </c>
      <c r="U27" t="str">
        <f>IF(B27="","",IFERROR(_xlfn.XLOOKUP(B27,TableLibrarySigns[Block],TableLibrarySigns[UnitCost]),""))</f>
        <v/>
      </c>
      <c r="V27" t="str">
        <f t="shared" si="1"/>
        <v/>
      </c>
    </row>
    <row r="28" spans="1:22" ht="16.8" customHeight="1">
      <c r="A28" t="str">
        <f t="shared" si="2"/>
        <v/>
      </c>
      <c r="D28" s="2"/>
      <c r="E28" s="6" t="str">
        <f>IF(SignsTable[[#This Row],[PKValue]]="","",IF(D28="","",INT(D28/1000)&amp;"+"&amp;TEXT(MOD(D28,1000),"000.00")))</f>
        <v/>
      </c>
      <c r="J28" t="str">
        <f>IF(B28="","",IFERROR(_xlfn.XLOOKUP(B28,TableLibrarySigns[Block],TableLibrarySigns[Material]),""))</f>
        <v/>
      </c>
      <c r="K28" t="str">
        <f>IF(B28="","",IFERROR(_xlfn.XLOOKUP(B28,TableLibrarySigns[Block],TableLibrarySigns[RotationMode]),""))</f>
        <v/>
      </c>
      <c r="L28" t="str">
        <f>IF(B28="","",IFERROR(_xlfn.XLOOKUP(B28,TableLibrarySigns[Block],TableLibrarySigns[Layer]),""))</f>
        <v/>
      </c>
      <c r="M28" t="str">
        <f>IF(B28="","",IFERROR(_xlfn.XLOOKUP(B28,TableLibrarySigns[Block],TableLibrarySigns[DWGName]),""))</f>
        <v/>
      </c>
      <c r="N28" t="str">
        <f>IF(B28="","",IFERROR(_xlfn.XLOOKUP(B28,TableLibrarySigns[Block],TableLibrarySigns[SignCode]),""))</f>
        <v/>
      </c>
      <c r="O28" t="str">
        <f>IF(B28="","",IFERROR(_xlfn.XLOOKUP(B28,TableLibrarySigns[Block],TableLibrarySigns[IFCEntity]),""))</f>
        <v/>
      </c>
      <c r="P28" t="str">
        <f>IF(B28="","",IFERROR(_xlfn.XLOOKUP(B28,TableLibrarySigns[Block],TableLibrarySigns[Category]),""))</f>
        <v/>
      </c>
      <c r="Q28" t="str">
        <f>IF(B28="","",IFERROR(_xlfn.XLOOKUP(B28,TableLibrarySigns[Block],TableLibrarySigns[Normative]),""))</f>
        <v/>
      </c>
      <c r="R28" t="str">
        <f>IF(B28="","",IFERROR(_xlfn.XLOOKUP(B28,TableLibrarySigns[Block],TableLibrarySigns[Description]),""))</f>
        <v/>
      </c>
      <c r="S28" t="str">
        <f t="shared" si="0"/>
        <v/>
      </c>
      <c r="T28" t="str">
        <f>IF(B28="","",IFERROR(_xlfn.XLOOKUP(B28,TableLibrarySigns[Block],TableLibrarySigns[UnitTime]),""))</f>
        <v/>
      </c>
      <c r="U28" t="str">
        <f>IF(B28="","",IFERROR(_xlfn.XLOOKUP(B28,TableLibrarySigns[Block],TableLibrarySigns[UnitCost]),""))</f>
        <v/>
      </c>
      <c r="V28" t="str">
        <f t="shared" si="1"/>
        <v/>
      </c>
    </row>
    <row r="29" spans="1:22" ht="16.8" customHeight="1">
      <c r="A29" t="str">
        <f t="shared" si="2"/>
        <v/>
      </c>
      <c r="D29" s="2"/>
      <c r="E29" s="6" t="str">
        <f>IF(SignsTable[[#This Row],[PKValue]]="","",IF(D29="","",INT(D29/1000)&amp;"+"&amp;TEXT(MOD(D29,1000),"000.00")))</f>
        <v/>
      </c>
      <c r="J29" t="str">
        <f>IF(B29="","",IFERROR(_xlfn.XLOOKUP(B29,TableLibrarySigns[Block],TableLibrarySigns[Material]),""))</f>
        <v/>
      </c>
      <c r="K29" t="str">
        <f>IF(B29="","",IFERROR(_xlfn.XLOOKUP(B29,TableLibrarySigns[Block],TableLibrarySigns[RotationMode]),""))</f>
        <v/>
      </c>
      <c r="L29" t="str">
        <f>IF(B29="","",IFERROR(_xlfn.XLOOKUP(B29,TableLibrarySigns[Block],TableLibrarySigns[Layer]),""))</f>
        <v/>
      </c>
      <c r="M29" t="str">
        <f>IF(B29="","",IFERROR(_xlfn.XLOOKUP(B29,TableLibrarySigns[Block],TableLibrarySigns[DWGName]),""))</f>
        <v/>
      </c>
      <c r="N29" t="str">
        <f>IF(B29="","",IFERROR(_xlfn.XLOOKUP(B29,TableLibrarySigns[Block],TableLibrarySigns[SignCode]),""))</f>
        <v/>
      </c>
      <c r="O29" t="str">
        <f>IF(B29="","",IFERROR(_xlfn.XLOOKUP(B29,TableLibrarySigns[Block],TableLibrarySigns[IFCEntity]),""))</f>
        <v/>
      </c>
      <c r="P29" t="str">
        <f>IF(B29="","",IFERROR(_xlfn.XLOOKUP(B29,TableLibrarySigns[Block],TableLibrarySigns[Category]),""))</f>
        <v/>
      </c>
      <c r="Q29" t="str">
        <f>IF(B29="","",IFERROR(_xlfn.XLOOKUP(B29,TableLibrarySigns[Block],TableLibrarySigns[Normative]),""))</f>
        <v/>
      </c>
      <c r="R29" t="str">
        <f>IF(B29="","",IFERROR(_xlfn.XLOOKUP(B29,TableLibrarySigns[Block],TableLibrarySigns[Description]),""))</f>
        <v/>
      </c>
      <c r="S29" t="str">
        <f t="shared" si="0"/>
        <v/>
      </c>
      <c r="T29" t="str">
        <f>IF(B29="","",IFERROR(_xlfn.XLOOKUP(B29,TableLibrarySigns[Block],TableLibrarySigns[UnitTime]),""))</f>
        <v/>
      </c>
      <c r="U29" t="str">
        <f>IF(B29="","",IFERROR(_xlfn.XLOOKUP(B29,TableLibrarySigns[Block],TableLibrarySigns[UnitCost]),""))</f>
        <v/>
      </c>
      <c r="V29" t="str">
        <f t="shared" si="1"/>
        <v/>
      </c>
    </row>
    <row r="30" spans="1:22" ht="16.8" customHeight="1">
      <c r="A30" t="str">
        <f t="shared" si="2"/>
        <v/>
      </c>
      <c r="D30" s="2"/>
      <c r="E30" s="6" t="str">
        <f>IF(SignsTable[[#This Row],[PKValue]]="","",IF(D30="","",INT(D30/1000)&amp;"+"&amp;TEXT(MOD(D30,1000),"000.00")))</f>
        <v/>
      </c>
      <c r="J30" t="str">
        <f>IF(B30="","",IFERROR(_xlfn.XLOOKUP(B30,TableLibrarySigns[Block],TableLibrarySigns[Material]),""))</f>
        <v/>
      </c>
      <c r="K30" t="str">
        <f>IF(B30="","",IFERROR(_xlfn.XLOOKUP(B30,TableLibrarySigns[Block],TableLibrarySigns[RotationMode]),""))</f>
        <v/>
      </c>
      <c r="L30" t="str">
        <f>IF(B30="","",IFERROR(_xlfn.XLOOKUP(B30,TableLibrarySigns[Block],TableLibrarySigns[Layer]),""))</f>
        <v/>
      </c>
      <c r="M30" t="str">
        <f>IF(B30="","",IFERROR(_xlfn.XLOOKUP(B30,TableLibrarySigns[Block],TableLibrarySigns[DWGName]),""))</f>
        <v/>
      </c>
      <c r="N30" t="str">
        <f>IF(B30="","",IFERROR(_xlfn.XLOOKUP(B30,TableLibrarySigns[Block],TableLibrarySigns[SignCode]),""))</f>
        <v/>
      </c>
      <c r="O30" t="str">
        <f>IF(B30="","",IFERROR(_xlfn.XLOOKUP(B30,TableLibrarySigns[Block],TableLibrarySigns[IFCEntity]),""))</f>
        <v/>
      </c>
      <c r="P30" t="str">
        <f>IF(B30="","",IFERROR(_xlfn.XLOOKUP(B30,TableLibrarySigns[Block],TableLibrarySigns[Category]),""))</f>
        <v/>
      </c>
      <c r="Q30" t="str">
        <f>IF(B30="","",IFERROR(_xlfn.XLOOKUP(B30,TableLibrarySigns[Block],TableLibrarySigns[Normative]),""))</f>
        <v/>
      </c>
      <c r="R30" t="str">
        <f>IF(B30="","",IFERROR(_xlfn.XLOOKUP(B30,TableLibrarySigns[Block],TableLibrarySigns[Description]),""))</f>
        <v/>
      </c>
      <c r="S30" t="str">
        <f t="shared" si="0"/>
        <v/>
      </c>
      <c r="T30" t="str">
        <f>IF(B30="","",IFERROR(_xlfn.XLOOKUP(B30,TableLibrarySigns[Block],TableLibrarySigns[UnitTime]),""))</f>
        <v/>
      </c>
      <c r="U30" t="str">
        <f>IF(B30="","",IFERROR(_xlfn.XLOOKUP(B30,TableLibrarySigns[Block],TableLibrarySigns[UnitCost]),""))</f>
        <v/>
      </c>
      <c r="V30" t="str">
        <f t="shared" si="1"/>
        <v/>
      </c>
    </row>
    <row r="31" spans="1:22" ht="16.8" customHeight="1">
      <c r="A31" t="str">
        <f t="shared" si="2"/>
        <v/>
      </c>
      <c r="D31" s="2"/>
      <c r="E31" s="6" t="str">
        <f>IF(SignsTable[[#This Row],[PKValue]]="","",IF(D31="","",INT(D31/1000)&amp;"+"&amp;TEXT(MOD(D31,1000),"000.00")))</f>
        <v/>
      </c>
      <c r="J31" t="str">
        <f>IF(B31="","",IFERROR(_xlfn.XLOOKUP(B31,TableLibrarySigns[Block],TableLibrarySigns[Material]),""))</f>
        <v/>
      </c>
      <c r="K31" t="str">
        <f>IF(B31="","",IFERROR(_xlfn.XLOOKUP(B31,TableLibrarySigns[Block],TableLibrarySigns[RotationMode]),""))</f>
        <v/>
      </c>
      <c r="L31" t="str">
        <f>IF(B31="","",IFERROR(_xlfn.XLOOKUP(B31,TableLibrarySigns[Block],TableLibrarySigns[Layer]),""))</f>
        <v/>
      </c>
      <c r="M31" t="str">
        <f>IF(B31="","",IFERROR(_xlfn.XLOOKUP(B31,TableLibrarySigns[Block],TableLibrarySigns[DWGName]),""))</f>
        <v/>
      </c>
      <c r="N31" t="str">
        <f>IF(B31="","",IFERROR(_xlfn.XLOOKUP(B31,TableLibrarySigns[Block],TableLibrarySigns[SignCode]),""))</f>
        <v/>
      </c>
      <c r="O31" t="str">
        <f>IF(B31="","",IFERROR(_xlfn.XLOOKUP(B31,TableLibrarySigns[Block],TableLibrarySigns[IFCEntity]),""))</f>
        <v/>
      </c>
      <c r="P31" t="str">
        <f>IF(B31="","",IFERROR(_xlfn.XLOOKUP(B31,TableLibrarySigns[Block],TableLibrarySigns[Category]),""))</f>
        <v/>
      </c>
      <c r="Q31" t="str">
        <f>IF(B31="","",IFERROR(_xlfn.XLOOKUP(B31,TableLibrarySigns[Block],TableLibrarySigns[Normative]),""))</f>
        <v/>
      </c>
      <c r="R31" t="str">
        <f>IF(B31="","",IFERROR(_xlfn.XLOOKUP(B31,TableLibrarySigns[Block],TableLibrarySigns[Description]),""))</f>
        <v/>
      </c>
      <c r="S31" t="str">
        <f t="shared" si="0"/>
        <v/>
      </c>
      <c r="T31" t="str">
        <f>IF(B31="","",IFERROR(_xlfn.XLOOKUP(B31,TableLibrarySigns[Block],TableLibrarySigns[UnitTime]),""))</f>
        <v/>
      </c>
      <c r="U31" t="str">
        <f>IF(B31="","",IFERROR(_xlfn.XLOOKUP(B31,TableLibrarySigns[Block],TableLibrarySigns[UnitCost]),""))</f>
        <v/>
      </c>
      <c r="V31" t="str">
        <f t="shared" si="1"/>
        <v/>
      </c>
    </row>
    <row r="32" spans="1:22" ht="16.8" customHeight="1">
      <c r="A32" t="str">
        <f t="shared" si="2"/>
        <v/>
      </c>
      <c r="D32" s="2"/>
      <c r="E32" s="6" t="str">
        <f>IF(SignsTable[[#This Row],[PKValue]]="","",IF(D32="","",INT(D32/1000)&amp;"+"&amp;TEXT(MOD(D32,1000),"000.00")))</f>
        <v/>
      </c>
      <c r="J32" t="str">
        <f>IF(B32="","",IFERROR(_xlfn.XLOOKUP(B32,TableLibrarySigns[Block],TableLibrarySigns[Material]),""))</f>
        <v/>
      </c>
      <c r="K32" t="str">
        <f>IF(B32="","",IFERROR(_xlfn.XLOOKUP(B32,TableLibrarySigns[Block],TableLibrarySigns[RotationMode]),""))</f>
        <v/>
      </c>
      <c r="L32" t="str">
        <f>IF(B32="","",IFERROR(_xlfn.XLOOKUP(B32,TableLibrarySigns[Block],TableLibrarySigns[Layer]),""))</f>
        <v/>
      </c>
      <c r="M32" t="str">
        <f>IF(B32="","",IFERROR(_xlfn.XLOOKUP(B32,TableLibrarySigns[Block],TableLibrarySigns[DWGName]),""))</f>
        <v/>
      </c>
      <c r="N32" t="str">
        <f>IF(B32="","",IFERROR(_xlfn.XLOOKUP(B32,TableLibrarySigns[Block],TableLibrarySigns[SignCode]),""))</f>
        <v/>
      </c>
      <c r="O32" t="str">
        <f>IF(B32="","",IFERROR(_xlfn.XLOOKUP(B32,TableLibrarySigns[Block],TableLibrarySigns[IFCEntity]),""))</f>
        <v/>
      </c>
      <c r="P32" t="str">
        <f>IF(B32="","",IFERROR(_xlfn.XLOOKUP(B32,TableLibrarySigns[Block],TableLibrarySigns[Category]),""))</f>
        <v/>
      </c>
      <c r="Q32" t="str">
        <f>IF(B32="","",IFERROR(_xlfn.XLOOKUP(B32,TableLibrarySigns[Block],TableLibrarySigns[Normative]),""))</f>
        <v/>
      </c>
      <c r="R32" t="str">
        <f>IF(B32="","",IFERROR(_xlfn.XLOOKUP(B32,TableLibrarySigns[Block],TableLibrarySigns[Description]),""))</f>
        <v/>
      </c>
      <c r="S32" t="str">
        <f t="shared" si="0"/>
        <v/>
      </c>
      <c r="T32" t="str">
        <f>IF(B32="","",IFERROR(_xlfn.XLOOKUP(B32,TableLibrarySigns[Block],TableLibrarySigns[UnitTime]),""))</f>
        <v/>
      </c>
      <c r="U32" t="str">
        <f>IF(B32="","",IFERROR(_xlfn.XLOOKUP(B32,TableLibrarySigns[Block],TableLibrarySigns[UnitCost]),""))</f>
        <v/>
      </c>
      <c r="V32" t="str">
        <f t="shared" si="1"/>
        <v/>
      </c>
    </row>
    <row r="33" spans="1:22" ht="16.8" customHeight="1">
      <c r="A33" t="str">
        <f t="shared" si="2"/>
        <v/>
      </c>
      <c r="D33" s="2"/>
      <c r="E33" s="6" t="str">
        <f>IF(SignsTable[[#This Row],[PKValue]]="","",IF(D33="","",INT(D33/1000)&amp;"+"&amp;TEXT(MOD(D33,1000),"000.00")))</f>
        <v/>
      </c>
      <c r="J33" t="str">
        <f>IF(B33="","",IFERROR(_xlfn.XLOOKUP(B33,TableLibrarySigns[Block],TableLibrarySigns[Material]),""))</f>
        <v/>
      </c>
      <c r="K33" t="str">
        <f>IF(B33="","",IFERROR(_xlfn.XLOOKUP(B33,TableLibrarySigns[Block],TableLibrarySigns[RotationMode]),""))</f>
        <v/>
      </c>
      <c r="L33" t="str">
        <f>IF(B33="","",IFERROR(_xlfn.XLOOKUP(B33,TableLibrarySigns[Block],TableLibrarySigns[Layer]),""))</f>
        <v/>
      </c>
      <c r="M33" t="str">
        <f>IF(B33="","",IFERROR(_xlfn.XLOOKUP(B33,TableLibrarySigns[Block],TableLibrarySigns[DWGName]),""))</f>
        <v/>
      </c>
      <c r="N33" t="str">
        <f>IF(B33="","",IFERROR(_xlfn.XLOOKUP(B33,TableLibrarySigns[Block],TableLibrarySigns[SignCode]),""))</f>
        <v/>
      </c>
      <c r="O33" t="str">
        <f>IF(B33="","",IFERROR(_xlfn.XLOOKUP(B33,TableLibrarySigns[Block],TableLibrarySigns[IFCEntity]),""))</f>
        <v/>
      </c>
      <c r="P33" t="str">
        <f>IF(B33="","",IFERROR(_xlfn.XLOOKUP(B33,TableLibrarySigns[Block],TableLibrarySigns[Category]),""))</f>
        <v/>
      </c>
      <c r="Q33" t="str">
        <f>IF(B33="","",IFERROR(_xlfn.XLOOKUP(B33,TableLibrarySigns[Block],TableLibrarySigns[Normative]),""))</f>
        <v/>
      </c>
      <c r="R33" t="str">
        <f>IF(B33="","",IFERROR(_xlfn.XLOOKUP(B33,TableLibrarySigns[Block],TableLibrarySigns[Description]),""))</f>
        <v/>
      </c>
      <c r="S33" t="str">
        <f t="shared" si="0"/>
        <v/>
      </c>
      <c r="T33" t="str">
        <f>IF(B33="","",IFERROR(_xlfn.XLOOKUP(B33,TableLibrarySigns[Block],TableLibrarySigns[UnitTime]),""))</f>
        <v/>
      </c>
      <c r="U33" t="str">
        <f>IF(B33="","",IFERROR(_xlfn.XLOOKUP(B33,TableLibrarySigns[Block],TableLibrarySigns[UnitCost]),""))</f>
        <v/>
      </c>
      <c r="V33" t="str">
        <f t="shared" si="1"/>
        <v/>
      </c>
    </row>
    <row r="34" spans="1:22" ht="16.8" customHeight="1">
      <c r="A34" t="str">
        <f t="shared" si="2"/>
        <v/>
      </c>
      <c r="D34" s="2"/>
      <c r="E34" s="6" t="str">
        <f>IF(SignsTable[[#This Row],[PKValue]]="","",IF(D34="","",INT(D34/1000)&amp;"+"&amp;TEXT(MOD(D34,1000),"000.00")))</f>
        <v/>
      </c>
      <c r="J34" t="str">
        <f>IF(B34="","",IFERROR(_xlfn.XLOOKUP(B34,TableLibrarySigns[Block],TableLibrarySigns[Material]),""))</f>
        <v/>
      </c>
      <c r="K34" t="str">
        <f>IF(B34="","",IFERROR(_xlfn.XLOOKUP(B34,TableLibrarySigns[Block],TableLibrarySigns[RotationMode]),""))</f>
        <v/>
      </c>
      <c r="L34" t="str">
        <f>IF(B34="","",IFERROR(_xlfn.XLOOKUP(B34,TableLibrarySigns[Block],TableLibrarySigns[Layer]),""))</f>
        <v/>
      </c>
      <c r="M34" t="str">
        <f>IF(B34="","",IFERROR(_xlfn.XLOOKUP(B34,TableLibrarySigns[Block],TableLibrarySigns[DWGName]),""))</f>
        <v/>
      </c>
      <c r="N34" t="str">
        <f>IF(B34="","",IFERROR(_xlfn.XLOOKUP(B34,TableLibrarySigns[Block],TableLibrarySigns[SignCode]),""))</f>
        <v/>
      </c>
      <c r="O34" t="str">
        <f>IF(B34="","",IFERROR(_xlfn.XLOOKUP(B34,TableLibrarySigns[Block],TableLibrarySigns[IFCEntity]),""))</f>
        <v/>
      </c>
      <c r="P34" t="str">
        <f>IF(B34="","",IFERROR(_xlfn.XLOOKUP(B34,TableLibrarySigns[Block],TableLibrarySigns[Category]),""))</f>
        <v/>
      </c>
      <c r="Q34" t="str">
        <f>IF(B34="","",IFERROR(_xlfn.XLOOKUP(B34,TableLibrarySigns[Block],TableLibrarySigns[Normative]),""))</f>
        <v/>
      </c>
      <c r="R34" t="str">
        <f>IF(B34="","",IFERROR(_xlfn.XLOOKUP(B34,TableLibrarySigns[Block],TableLibrarySigns[Description]),""))</f>
        <v/>
      </c>
      <c r="S34" t="str">
        <f t="shared" ref="S34:S65" si="3">IF(B34="","",1)</f>
        <v/>
      </c>
      <c r="T34" t="str">
        <f>IF(B34="","",IFERROR(_xlfn.XLOOKUP(B34,TableLibrarySigns[Block],TableLibrarySigns[UnitTime]),""))</f>
        <v/>
      </c>
      <c r="U34" t="str">
        <f>IF(B34="","",IFERROR(_xlfn.XLOOKUP(B34,TableLibrarySigns[Block],TableLibrarySigns[UnitCost]),""))</f>
        <v/>
      </c>
      <c r="V34" t="str">
        <f t="shared" ref="V34:V65" si="4">IF(B34="","",S34*U34)</f>
        <v/>
      </c>
    </row>
    <row r="35" spans="1:22" ht="16.8" customHeight="1">
      <c r="A35" t="str">
        <f t="shared" si="2"/>
        <v/>
      </c>
      <c r="D35" s="2"/>
      <c r="E35" s="6" t="str">
        <f>IF(SignsTable[[#This Row],[PKValue]]="","",IF(D35="","",INT(D35/1000)&amp;"+"&amp;TEXT(MOD(D35,1000),"000.00")))</f>
        <v/>
      </c>
      <c r="J35" t="str">
        <f>IF(B35="","",IFERROR(_xlfn.XLOOKUP(B35,TableLibrarySigns[Block],TableLibrarySigns[Material]),""))</f>
        <v/>
      </c>
      <c r="K35" t="str">
        <f>IF(B35="","",IFERROR(_xlfn.XLOOKUP(B35,TableLibrarySigns[Block],TableLibrarySigns[RotationMode]),""))</f>
        <v/>
      </c>
      <c r="L35" t="str">
        <f>IF(B35="","",IFERROR(_xlfn.XLOOKUP(B35,TableLibrarySigns[Block],TableLibrarySigns[Layer]),""))</f>
        <v/>
      </c>
      <c r="M35" t="str">
        <f>IF(B35="","",IFERROR(_xlfn.XLOOKUP(B35,TableLibrarySigns[Block],TableLibrarySigns[DWGName]),""))</f>
        <v/>
      </c>
      <c r="N35" t="str">
        <f>IF(B35="","",IFERROR(_xlfn.XLOOKUP(B35,TableLibrarySigns[Block],TableLibrarySigns[SignCode]),""))</f>
        <v/>
      </c>
      <c r="O35" t="str">
        <f>IF(B35="","",IFERROR(_xlfn.XLOOKUP(B35,TableLibrarySigns[Block],TableLibrarySigns[IFCEntity]),""))</f>
        <v/>
      </c>
      <c r="P35" t="str">
        <f>IF(B35="","",IFERROR(_xlfn.XLOOKUP(B35,TableLibrarySigns[Block],TableLibrarySigns[Category]),""))</f>
        <v/>
      </c>
      <c r="Q35" t="str">
        <f>IF(B35="","",IFERROR(_xlfn.XLOOKUP(B35,TableLibrarySigns[Block],TableLibrarySigns[Normative]),""))</f>
        <v/>
      </c>
      <c r="R35" t="str">
        <f>IF(B35="","",IFERROR(_xlfn.XLOOKUP(B35,TableLibrarySigns[Block],TableLibrarySigns[Description]),""))</f>
        <v/>
      </c>
      <c r="S35" t="str">
        <f t="shared" si="3"/>
        <v/>
      </c>
      <c r="T35" t="str">
        <f>IF(B35="","",IFERROR(_xlfn.XLOOKUP(B35,TableLibrarySigns[Block],TableLibrarySigns[UnitTime]),""))</f>
        <v/>
      </c>
      <c r="U35" t="str">
        <f>IF(B35="","",IFERROR(_xlfn.XLOOKUP(B35,TableLibrarySigns[Block],TableLibrarySigns[UnitCost]),""))</f>
        <v/>
      </c>
      <c r="V35" t="str">
        <f t="shared" si="4"/>
        <v/>
      </c>
    </row>
    <row r="36" spans="1:22" ht="16.8" customHeight="1">
      <c r="A36" t="str">
        <f t="shared" si="2"/>
        <v/>
      </c>
      <c r="D36" s="2"/>
      <c r="E36" s="6" t="str">
        <f>IF(SignsTable[[#This Row],[PKValue]]="","",IF(D36="","",INT(D36/1000)&amp;"+"&amp;TEXT(MOD(D36,1000),"000.00")))</f>
        <v/>
      </c>
      <c r="J36" t="str">
        <f>IF(B36="","",IFERROR(_xlfn.XLOOKUP(B36,TableLibrarySigns[Block],TableLibrarySigns[Material]),""))</f>
        <v/>
      </c>
      <c r="K36" t="str">
        <f>IF(B36="","",IFERROR(_xlfn.XLOOKUP(B36,TableLibrarySigns[Block],TableLibrarySigns[RotationMode]),""))</f>
        <v/>
      </c>
      <c r="L36" t="str">
        <f>IF(B36="","",IFERROR(_xlfn.XLOOKUP(B36,TableLibrarySigns[Block],TableLibrarySigns[Layer]),""))</f>
        <v/>
      </c>
      <c r="M36" t="str">
        <f>IF(B36="","",IFERROR(_xlfn.XLOOKUP(B36,TableLibrarySigns[Block],TableLibrarySigns[DWGName]),""))</f>
        <v/>
      </c>
      <c r="N36" t="str">
        <f>IF(B36="","",IFERROR(_xlfn.XLOOKUP(B36,TableLibrarySigns[Block],TableLibrarySigns[SignCode]),""))</f>
        <v/>
      </c>
      <c r="O36" t="str">
        <f>IF(B36="","",IFERROR(_xlfn.XLOOKUP(B36,TableLibrarySigns[Block],TableLibrarySigns[IFCEntity]),""))</f>
        <v/>
      </c>
      <c r="P36" t="str">
        <f>IF(B36="","",IFERROR(_xlfn.XLOOKUP(B36,TableLibrarySigns[Block],TableLibrarySigns[Category]),""))</f>
        <v/>
      </c>
      <c r="Q36" t="str">
        <f>IF(B36="","",IFERROR(_xlfn.XLOOKUP(B36,TableLibrarySigns[Block],TableLibrarySigns[Normative]),""))</f>
        <v/>
      </c>
      <c r="R36" t="str">
        <f>IF(B36="","",IFERROR(_xlfn.XLOOKUP(B36,TableLibrarySigns[Block],TableLibrarySigns[Description]),""))</f>
        <v/>
      </c>
      <c r="S36" t="str">
        <f t="shared" si="3"/>
        <v/>
      </c>
      <c r="T36" t="str">
        <f>IF(B36="","",IFERROR(_xlfn.XLOOKUP(B36,TableLibrarySigns[Block],TableLibrarySigns[UnitTime]),""))</f>
        <v/>
      </c>
      <c r="U36" t="str">
        <f>IF(B36="","",IFERROR(_xlfn.XLOOKUP(B36,TableLibrarySigns[Block],TableLibrarySigns[UnitCost]),""))</f>
        <v/>
      </c>
      <c r="V36" t="str">
        <f t="shared" si="4"/>
        <v/>
      </c>
    </row>
    <row r="37" spans="1:22" ht="16.8" customHeight="1">
      <c r="A37" t="str">
        <f t="shared" si="2"/>
        <v/>
      </c>
      <c r="D37" s="2"/>
      <c r="E37" s="6" t="str">
        <f>IF(SignsTable[[#This Row],[PKValue]]="","",IF(D37="","",INT(D37/1000)&amp;"+"&amp;TEXT(MOD(D37,1000),"000.00")))</f>
        <v/>
      </c>
      <c r="J37" t="str">
        <f>IF(B37="","",IFERROR(_xlfn.XLOOKUP(B37,TableLibrarySigns[Block],TableLibrarySigns[Material]),""))</f>
        <v/>
      </c>
      <c r="K37" t="str">
        <f>IF(B37="","",IFERROR(_xlfn.XLOOKUP(B37,TableLibrarySigns[Block],TableLibrarySigns[RotationMode]),""))</f>
        <v/>
      </c>
      <c r="L37" t="str">
        <f>IF(B37="","",IFERROR(_xlfn.XLOOKUP(B37,TableLibrarySigns[Block],TableLibrarySigns[Layer]),""))</f>
        <v/>
      </c>
      <c r="M37" t="str">
        <f>IF(B37="","",IFERROR(_xlfn.XLOOKUP(B37,TableLibrarySigns[Block],TableLibrarySigns[DWGName]),""))</f>
        <v/>
      </c>
      <c r="N37" t="str">
        <f>IF(B37="","",IFERROR(_xlfn.XLOOKUP(B37,TableLibrarySigns[Block],TableLibrarySigns[SignCode]),""))</f>
        <v/>
      </c>
      <c r="O37" t="str">
        <f>IF(B37="","",IFERROR(_xlfn.XLOOKUP(B37,TableLibrarySigns[Block],TableLibrarySigns[IFCEntity]),""))</f>
        <v/>
      </c>
      <c r="P37" t="str">
        <f>IF(B37="","",IFERROR(_xlfn.XLOOKUP(B37,TableLibrarySigns[Block],TableLibrarySigns[Category]),""))</f>
        <v/>
      </c>
      <c r="Q37" t="str">
        <f>IF(B37="","",IFERROR(_xlfn.XLOOKUP(B37,TableLibrarySigns[Block],TableLibrarySigns[Normative]),""))</f>
        <v/>
      </c>
      <c r="R37" t="str">
        <f>IF(B37="","",IFERROR(_xlfn.XLOOKUP(B37,TableLibrarySigns[Block],TableLibrarySigns[Description]),""))</f>
        <v/>
      </c>
      <c r="S37" t="str">
        <f t="shared" si="3"/>
        <v/>
      </c>
      <c r="T37" t="str">
        <f>IF(B37="","",IFERROR(_xlfn.XLOOKUP(B37,TableLibrarySigns[Block],TableLibrarySigns[UnitTime]),""))</f>
        <v/>
      </c>
      <c r="U37" t="str">
        <f>IF(B37="","",IFERROR(_xlfn.XLOOKUP(B37,TableLibrarySigns[Block],TableLibrarySigns[UnitCost]),""))</f>
        <v/>
      </c>
      <c r="V37" t="str">
        <f t="shared" si="4"/>
        <v/>
      </c>
    </row>
    <row r="38" spans="1:22" ht="16.8" customHeight="1">
      <c r="A38" t="str">
        <f t="shared" si="2"/>
        <v/>
      </c>
      <c r="D38" s="2"/>
      <c r="E38" s="6" t="str">
        <f>IF(SignsTable[[#This Row],[PKValue]]="","",IF(D38="","",INT(D38/1000)&amp;"+"&amp;TEXT(MOD(D38,1000),"000.00")))</f>
        <v/>
      </c>
      <c r="J38" t="str">
        <f>IF(B38="","",IFERROR(_xlfn.XLOOKUP(B38,TableLibrarySigns[Block],TableLibrarySigns[Material]),""))</f>
        <v/>
      </c>
      <c r="K38" t="str">
        <f>IF(B38="","",IFERROR(_xlfn.XLOOKUP(B38,TableLibrarySigns[Block],TableLibrarySigns[RotationMode]),""))</f>
        <v/>
      </c>
      <c r="L38" t="str">
        <f>IF(B38="","",IFERROR(_xlfn.XLOOKUP(B38,TableLibrarySigns[Block],TableLibrarySigns[Layer]),""))</f>
        <v/>
      </c>
      <c r="M38" t="str">
        <f>IF(B38="","",IFERROR(_xlfn.XLOOKUP(B38,TableLibrarySigns[Block],TableLibrarySigns[DWGName]),""))</f>
        <v/>
      </c>
      <c r="N38" t="str">
        <f>IF(B38="","",IFERROR(_xlfn.XLOOKUP(B38,TableLibrarySigns[Block],TableLibrarySigns[SignCode]),""))</f>
        <v/>
      </c>
      <c r="O38" t="str">
        <f>IF(B38="","",IFERROR(_xlfn.XLOOKUP(B38,TableLibrarySigns[Block],TableLibrarySigns[IFCEntity]),""))</f>
        <v/>
      </c>
      <c r="P38" t="str">
        <f>IF(B38="","",IFERROR(_xlfn.XLOOKUP(B38,TableLibrarySigns[Block],TableLibrarySigns[Category]),""))</f>
        <v/>
      </c>
      <c r="Q38" t="str">
        <f>IF(B38="","",IFERROR(_xlfn.XLOOKUP(B38,TableLibrarySigns[Block],TableLibrarySigns[Normative]),""))</f>
        <v/>
      </c>
      <c r="R38" t="str">
        <f>IF(B38="","",IFERROR(_xlfn.XLOOKUP(B38,TableLibrarySigns[Block],TableLibrarySigns[Description]),""))</f>
        <v/>
      </c>
      <c r="S38" t="str">
        <f t="shared" si="3"/>
        <v/>
      </c>
      <c r="T38" t="str">
        <f>IF(B38="","",IFERROR(_xlfn.XLOOKUP(B38,TableLibrarySigns[Block],TableLibrarySigns[UnitTime]),""))</f>
        <v/>
      </c>
      <c r="U38" t="str">
        <f>IF(B38="","",IFERROR(_xlfn.XLOOKUP(B38,TableLibrarySigns[Block],TableLibrarySigns[UnitCost]),""))</f>
        <v/>
      </c>
      <c r="V38" t="str">
        <f t="shared" si="4"/>
        <v/>
      </c>
    </row>
    <row r="39" spans="1:22" ht="16.8" customHeight="1">
      <c r="A39" t="str">
        <f t="shared" si="2"/>
        <v/>
      </c>
      <c r="D39" s="2"/>
      <c r="E39" s="6" t="str">
        <f>IF(SignsTable[[#This Row],[PKValue]]="","",IF(D39="","",INT(D39/1000)&amp;"+"&amp;TEXT(MOD(D39,1000),"000.00")))</f>
        <v/>
      </c>
      <c r="J39" t="str">
        <f>IF(B39="","",IFERROR(_xlfn.XLOOKUP(B39,TableLibrarySigns[Block],TableLibrarySigns[Material]),""))</f>
        <v/>
      </c>
      <c r="K39" t="str">
        <f>IF(B39="","",IFERROR(_xlfn.XLOOKUP(B39,TableLibrarySigns[Block],TableLibrarySigns[RotationMode]),""))</f>
        <v/>
      </c>
      <c r="L39" t="str">
        <f>IF(B39="","",IFERROR(_xlfn.XLOOKUP(B39,TableLibrarySigns[Block],TableLibrarySigns[Layer]),""))</f>
        <v/>
      </c>
      <c r="M39" t="str">
        <f>IF(B39="","",IFERROR(_xlfn.XLOOKUP(B39,TableLibrarySigns[Block],TableLibrarySigns[DWGName]),""))</f>
        <v/>
      </c>
      <c r="N39" t="str">
        <f>IF(B39="","",IFERROR(_xlfn.XLOOKUP(B39,TableLibrarySigns[Block],TableLibrarySigns[SignCode]),""))</f>
        <v/>
      </c>
      <c r="O39" t="str">
        <f>IF(B39="","",IFERROR(_xlfn.XLOOKUP(B39,TableLibrarySigns[Block],TableLibrarySigns[IFCEntity]),""))</f>
        <v/>
      </c>
      <c r="P39" t="str">
        <f>IF(B39="","",IFERROR(_xlfn.XLOOKUP(B39,TableLibrarySigns[Block],TableLibrarySigns[Category]),""))</f>
        <v/>
      </c>
      <c r="Q39" t="str">
        <f>IF(B39="","",IFERROR(_xlfn.XLOOKUP(B39,TableLibrarySigns[Block],TableLibrarySigns[Normative]),""))</f>
        <v/>
      </c>
      <c r="R39" t="str">
        <f>IF(B39="","",IFERROR(_xlfn.XLOOKUP(B39,TableLibrarySigns[Block],TableLibrarySigns[Description]),""))</f>
        <v/>
      </c>
      <c r="S39" t="str">
        <f t="shared" si="3"/>
        <v/>
      </c>
      <c r="T39" t="str">
        <f>IF(B39="","",IFERROR(_xlfn.XLOOKUP(B39,TableLibrarySigns[Block],TableLibrarySigns[UnitTime]),""))</f>
        <v/>
      </c>
      <c r="U39" t="str">
        <f>IF(B39="","",IFERROR(_xlfn.XLOOKUP(B39,TableLibrarySigns[Block],TableLibrarySigns[UnitCost]),""))</f>
        <v/>
      </c>
      <c r="V39" t="str">
        <f t="shared" si="4"/>
        <v/>
      </c>
    </row>
    <row r="40" spans="1:22" ht="16.8" customHeight="1">
      <c r="A40" t="str">
        <f t="shared" si="2"/>
        <v/>
      </c>
      <c r="D40" s="2"/>
      <c r="E40" s="6" t="str">
        <f>IF(SignsTable[[#This Row],[PKValue]]="","",IF(D40="","",INT(D40/1000)&amp;"+"&amp;TEXT(MOD(D40,1000),"000.00")))</f>
        <v/>
      </c>
      <c r="J40" t="str">
        <f>IF(B40="","",IFERROR(_xlfn.XLOOKUP(B40,TableLibrarySigns[Block],TableLibrarySigns[Material]),""))</f>
        <v/>
      </c>
      <c r="K40" t="str">
        <f>IF(B40="","",IFERROR(_xlfn.XLOOKUP(B40,TableLibrarySigns[Block],TableLibrarySigns[RotationMode]),""))</f>
        <v/>
      </c>
      <c r="L40" t="str">
        <f>IF(B40="","",IFERROR(_xlfn.XLOOKUP(B40,TableLibrarySigns[Block],TableLibrarySigns[Layer]),""))</f>
        <v/>
      </c>
      <c r="M40" t="str">
        <f>IF(B40="","",IFERROR(_xlfn.XLOOKUP(B40,TableLibrarySigns[Block],TableLibrarySigns[DWGName]),""))</f>
        <v/>
      </c>
      <c r="N40" t="str">
        <f>IF(B40="","",IFERROR(_xlfn.XLOOKUP(B40,TableLibrarySigns[Block],TableLibrarySigns[SignCode]),""))</f>
        <v/>
      </c>
      <c r="O40" t="str">
        <f>IF(B40="","",IFERROR(_xlfn.XLOOKUP(B40,TableLibrarySigns[Block],TableLibrarySigns[IFCEntity]),""))</f>
        <v/>
      </c>
      <c r="P40" t="str">
        <f>IF(B40="","",IFERROR(_xlfn.XLOOKUP(B40,TableLibrarySigns[Block],TableLibrarySigns[Category]),""))</f>
        <v/>
      </c>
      <c r="Q40" t="str">
        <f>IF(B40="","",IFERROR(_xlfn.XLOOKUP(B40,TableLibrarySigns[Block],TableLibrarySigns[Normative]),""))</f>
        <v/>
      </c>
      <c r="R40" t="str">
        <f>IF(B40="","",IFERROR(_xlfn.XLOOKUP(B40,TableLibrarySigns[Block],TableLibrarySigns[Description]),""))</f>
        <v/>
      </c>
      <c r="S40" t="str">
        <f t="shared" si="3"/>
        <v/>
      </c>
      <c r="T40" t="str">
        <f>IF(B40="","",IFERROR(_xlfn.XLOOKUP(B40,TableLibrarySigns[Block],TableLibrarySigns[UnitTime]),""))</f>
        <v/>
      </c>
      <c r="U40" t="str">
        <f>IF(B40="","",IFERROR(_xlfn.XLOOKUP(B40,TableLibrarySigns[Block],TableLibrarySigns[UnitCost]),""))</f>
        <v/>
      </c>
      <c r="V40" t="str">
        <f t="shared" si="4"/>
        <v/>
      </c>
    </row>
    <row r="41" spans="1:22" ht="16.8" customHeight="1">
      <c r="A41" t="str">
        <f t="shared" si="2"/>
        <v/>
      </c>
      <c r="D41" s="2"/>
      <c r="E41" s="6" t="str">
        <f>IF(SignsTable[[#This Row],[PKValue]]="","",IF(D41="","",INT(D41/1000)&amp;"+"&amp;TEXT(MOD(D41,1000),"000.00")))</f>
        <v/>
      </c>
      <c r="J41" t="str">
        <f>IF(B41="","",IFERROR(_xlfn.XLOOKUP(B41,TableLibrarySigns[Block],TableLibrarySigns[Material]),""))</f>
        <v/>
      </c>
      <c r="K41" t="str">
        <f>IF(B41="","",IFERROR(_xlfn.XLOOKUP(B41,TableLibrarySigns[Block],TableLibrarySigns[RotationMode]),""))</f>
        <v/>
      </c>
      <c r="L41" t="str">
        <f>IF(B41="","",IFERROR(_xlfn.XLOOKUP(B41,TableLibrarySigns[Block],TableLibrarySigns[Layer]),""))</f>
        <v/>
      </c>
      <c r="M41" t="str">
        <f>IF(B41="","",IFERROR(_xlfn.XLOOKUP(B41,TableLibrarySigns[Block],TableLibrarySigns[DWGName]),""))</f>
        <v/>
      </c>
      <c r="N41" t="str">
        <f>IF(B41="","",IFERROR(_xlfn.XLOOKUP(B41,TableLibrarySigns[Block],TableLibrarySigns[SignCode]),""))</f>
        <v/>
      </c>
      <c r="O41" t="str">
        <f>IF(B41="","",IFERROR(_xlfn.XLOOKUP(B41,TableLibrarySigns[Block],TableLibrarySigns[IFCEntity]),""))</f>
        <v/>
      </c>
      <c r="P41" t="str">
        <f>IF(B41="","",IFERROR(_xlfn.XLOOKUP(B41,TableLibrarySigns[Block],TableLibrarySigns[Category]),""))</f>
        <v/>
      </c>
      <c r="Q41" t="str">
        <f>IF(B41="","",IFERROR(_xlfn.XLOOKUP(B41,TableLibrarySigns[Block],TableLibrarySigns[Normative]),""))</f>
        <v/>
      </c>
      <c r="R41" t="str">
        <f>IF(B41="","",IFERROR(_xlfn.XLOOKUP(B41,TableLibrarySigns[Block],TableLibrarySigns[Description]),""))</f>
        <v/>
      </c>
      <c r="S41" t="str">
        <f t="shared" si="3"/>
        <v/>
      </c>
      <c r="T41" t="str">
        <f>IF(B41="","",IFERROR(_xlfn.XLOOKUP(B41,TableLibrarySigns[Block],TableLibrarySigns[UnitTime]),""))</f>
        <v/>
      </c>
      <c r="U41" t="str">
        <f>IF(B41="","",IFERROR(_xlfn.XLOOKUP(B41,TableLibrarySigns[Block],TableLibrarySigns[UnitCost]),""))</f>
        <v/>
      </c>
      <c r="V41" t="str">
        <f t="shared" si="4"/>
        <v/>
      </c>
    </row>
    <row r="42" spans="1:22" ht="16.8" customHeight="1">
      <c r="A42" t="str">
        <f t="shared" si="2"/>
        <v/>
      </c>
      <c r="D42" s="2"/>
      <c r="E42" s="6" t="str">
        <f>IF(SignsTable[[#This Row],[PKValue]]="","",IF(D42="","",INT(D42/1000)&amp;"+"&amp;TEXT(MOD(D42,1000),"000.00")))</f>
        <v/>
      </c>
      <c r="J42" t="str">
        <f>IF(B42="","",IFERROR(_xlfn.XLOOKUP(B42,TableLibrarySigns[Block],TableLibrarySigns[Material]),""))</f>
        <v/>
      </c>
      <c r="K42" t="str">
        <f>IF(B42="","",IFERROR(_xlfn.XLOOKUP(B42,TableLibrarySigns[Block],TableLibrarySigns[RotationMode]),""))</f>
        <v/>
      </c>
      <c r="L42" t="str">
        <f>IF(B42="","",IFERROR(_xlfn.XLOOKUP(B42,TableLibrarySigns[Block],TableLibrarySigns[Layer]),""))</f>
        <v/>
      </c>
      <c r="M42" t="str">
        <f>IF(B42="","",IFERROR(_xlfn.XLOOKUP(B42,TableLibrarySigns[Block],TableLibrarySigns[DWGName]),""))</f>
        <v/>
      </c>
      <c r="N42" t="str">
        <f>IF(B42="","",IFERROR(_xlfn.XLOOKUP(B42,TableLibrarySigns[Block],TableLibrarySigns[SignCode]),""))</f>
        <v/>
      </c>
      <c r="O42" t="str">
        <f>IF(B42="","",IFERROR(_xlfn.XLOOKUP(B42,TableLibrarySigns[Block],TableLibrarySigns[IFCEntity]),""))</f>
        <v/>
      </c>
      <c r="P42" t="str">
        <f>IF(B42="","",IFERROR(_xlfn.XLOOKUP(B42,TableLibrarySigns[Block],TableLibrarySigns[Category]),""))</f>
        <v/>
      </c>
      <c r="Q42" t="str">
        <f>IF(B42="","",IFERROR(_xlfn.XLOOKUP(B42,TableLibrarySigns[Block],TableLibrarySigns[Normative]),""))</f>
        <v/>
      </c>
      <c r="R42" t="str">
        <f>IF(B42="","",IFERROR(_xlfn.XLOOKUP(B42,TableLibrarySigns[Block],TableLibrarySigns[Description]),""))</f>
        <v/>
      </c>
      <c r="S42" t="str">
        <f t="shared" si="3"/>
        <v/>
      </c>
      <c r="T42" t="str">
        <f>IF(B42="","",IFERROR(_xlfn.XLOOKUP(B42,TableLibrarySigns[Block],TableLibrarySigns[UnitTime]),""))</f>
        <v/>
      </c>
      <c r="U42" t="str">
        <f>IF(B42="","",IFERROR(_xlfn.XLOOKUP(B42,TableLibrarySigns[Block],TableLibrarySigns[UnitCost]),""))</f>
        <v/>
      </c>
      <c r="V42" t="str">
        <f t="shared" si="4"/>
        <v/>
      </c>
    </row>
    <row r="43" spans="1:22" ht="16.8" customHeight="1">
      <c r="A43" t="str">
        <f t="shared" si="2"/>
        <v/>
      </c>
      <c r="D43" s="2"/>
      <c r="E43" s="6" t="str">
        <f>IF(SignsTable[[#This Row],[PKValue]]="","",IF(D43="","",INT(D43/1000)&amp;"+"&amp;TEXT(MOD(D43,1000),"000.00")))</f>
        <v/>
      </c>
      <c r="J43" t="str">
        <f>IF(B43="","",IFERROR(_xlfn.XLOOKUP(B43,TableLibrarySigns[Block],TableLibrarySigns[Material]),""))</f>
        <v/>
      </c>
      <c r="K43" t="str">
        <f>IF(B43="","",IFERROR(_xlfn.XLOOKUP(B43,TableLibrarySigns[Block],TableLibrarySigns[RotationMode]),""))</f>
        <v/>
      </c>
      <c r="L43" t="str">
        <f>IF(B43="","",IFERROR(_xlfn.XLOOKUP(B43,TableLibrarySigns[Block],TableLibrarySigns[Layer]),""))</f>
        <v/>
      </c>
      <c r="M43" t="str">
        <f>IF(B43="","",IFERROR(_xlfn.XLOOKUP(B43,TableLibrarySigns[Block],TableLibrarySigns[DWGName]),""))</f>
        <v/>
      </c>
      <c r="N43" t="str">
        <f>IF(B43="","",IFERROR(_xlfn.XLOOKUP(B43,TableLibrarySigns[Block],TableLibrarySigns[SignCode]),""))</f>
        <v/>
      </c>
      <c r="O43" t="str">
        <f>IF(B43="","",IFERROR(_xlfn.XLOOKUP(B43,TableLibrarySigns[Block],TableLibrarySigns[IFCEntity]),""))</f>
        <v/>
      </c>
      <c r="P43" t="str">
        <f>IF(B43="","",IFERROR(_xlfn.XLOOKUP(B43,TableLibrarySigns[Block],TableLibrarySigns[Category]),""))</f>
        <v/>
      </c>
      <c r="Q43" t="str">
        <f>IF(B43="","",IFERROR(_xlfn.XLOOKUP(B43,TableLibrarySigns[Block],TableLibrarySigns[Normative]),""))</f>
        <v/>
      </c>
      <c r="R43" t="str">
        <f>IF(B43="","",IFERROR(_xlfn.XLOOKUP(B43,TableLibrarySigns[Block],TableLibrarySigns[Description]),""))</f>
        <v/>
      </c>
      <c r="S43" t="str">
        <f t="shared" si="3"/>
        <v/>
      </c>
      <c r="T43" t="str">
        <f>IF(B43="","",IFERROR(_xlfn.XLOOKUP(B43,TableLibrarySigns[Block],TableLibrarySigns[UnitTime]),""))</f>
        <v/>
      </c>
      <c r="U43" t="str">
        <f>IF(B43="","",IFERROR(_xlfn.XLOOKUP(B43,TableLibrarySigns[Block],TableLibrarySigns[UnitCost]),""))</f>
        <v/>
      </c>
      <c r="V43" t="str">
        <f t="shared" si="4"/>
        <v/>
      </c>
    </row>
    <row r="44" spans="1:22" ht="16.8" customHeight="1">
      <c r="A44" t="str">
        <f t="shared" si="2"/>
        <v/>
      </c>
      <c r="D44" s="2"/>
      <c r="E44" s="6" t="str">
        <f>IF(SignsTable[[#This Row],[PKValue]]="","",IF(D44="","",INT(D44/1000)&amp;"+"&amp;TEXT(MOD(D44,1000),"000.00")))</f>
        <v/>
      </c>
      <c r="J44" t="str">
        <f>IF(B44="","",IFERROR(_xlfn.XLOOKUP(B44,TableLibrarySigns[Block],TableLibrarySigns[Material]),""))</f>
        <v/>
      </c>
      <c r="K44" t="str">
        <f>IF(B44="","",IFERROR(_xlfn.XLOOKUP(B44,TableLibrarySigns[Block],TableLibrarySigns[RotationMode]),""))</f>
        <v/>
      </c>
      <c r="L44" t="str">
        <f>IF(B44="","",IFERROR(_xlfn.XLOOKUP(B44,TableLibrarySigns[Block],TableLibrarySigns[Layer]),""))</f>
        <v/>
      </c>
      <c r="M44" t="str">
        <f>IF(B44="","",IFERROR(_xlfn.XLOOKUP(B44,TableLibrarySigns[Block],TableLibrarySigns[DWGName]),""))</f>
        <v/>
      </c>
      <c r="N44" t="str">
        <f>IF(B44="","",IFERROR(_xlfn.XLOOKUP(B44,TableLibrarySigns[Block],TableLibrarySigns[SignCode]),""))</f>
        <v/>
      </c>
      <c r="O44" t="str">
        <f>IF(B44="","",IFERROR(_xlfn.XLOOKUP(B44,TableLibrarySigns[Block],TableLibrarySigns[IFCEntity]),""))</f>
        <v/>
      </c>
      <c r="P44" t="str">
        <f>IF(B44="","",IFERROR(_xlfn.XLOOKUP(B44,TableLibrarySigns[Block],TableLibrarySigns[Category]),""))</f>
        <v/>
      </c>
      <c r="Q44" t="str">
        <f>IF(B44="","",IFERROR(_xlfn.XLOOKUP(B44,TableLibrarySigns[Block],TableLibrarySigns[Normative]),""))</f>
        <v/>
      </c>
      <c r="R44" t="str">
        <f>IF(B44="","",IFERROR(_xlfn.XLOOKUP(B44,TableLibrarySigns[Block],TableLibrarySigns[Description]),""))</f>
        <v/>
      </c>
      <c r="S44" t="str">
        <f t="shared" si="3"/>
        <v/>
      </c>
      <c r="T44" t="str">
        <f>IF(B44="","",IFERROR(_xlfn.XLOOKUP(B44,TableLibrarySigns[Block],TableLibrarySigns[UnitTime]),""))</f>
        <v/>
      </c>
      <c r="U44" t="str">
        <f>IF(B44="","",IFERROR(_xlfn.XLOOKUP(B44,TableLibrarySigns[Block],TableLibrarySigns[UnitCost]),""))</f>
        <v/>
      </c>
      <c r="V44" t="str">
        <f t="shared" si="4"/>
        <v/>
      </c>
    </row>
    <row r="45" spans="1:22" ht="16.8" customHeight="1">
      <c r="A45" t="str">
        <f t="shared" si="2"/>
        <v/>
      </c>
      <c r="D45" s="2"/>
      <c r="E45" s="6" t="str">
        <f>IF(SignsTable[[#This Row],[PKValue]]="","",IF(D45="","",INT(D45/1000)&amp;"+"&amp;TEXT(MOD(D45,1000),"000.00")))</f>
        <v/>
      </c>
      <c r="J45" t="str">
        <f>IF(B45="","",IFERROR(_xlfn.XLOOKUP(B45,TableLibrarySigns[Block],TableLibrarySigns[Material]),""))</f>
        <v/>
      </c>
      <c r="K45" t="str">
        <f>IF(B45="","",IFERROR(_xlfn.XLOOKUP(B45,TableLibrarySigns[Block],TableLibrarySigns[RotationMode]),""))</f>
        <v/>
      </c>
      <c r="L45" t="str">
        <f>IF(B45="","",IFERROR(_xlfn.XLOOKUP(B45,TableLibrarySigns[Block],TableLibrarySigns[Layer]),""))</f>
        <v/>
      </c>
      <c r="M45" t="str">
        <f>IF(B45="","",IFERROR(_xlfn.XLOOKUP(B45,TableLibrarySigns[Block],TableLibrarySigns[DWGName]),""))</f>
        <v/>
      </c>
      <c r="N45" t="str">
        <f>IF(B45="","",IFERROR(_xlfn.XLOOKUP(B45,TableLibrarySigns[Block],TableLibrarySigns[SignCode]),""))</f>
        <v/>
      </c>
      <c r="O45" t="str">
        <f>IF(B45="","",IFERROR(_xlfn.XLOOKUP(B45,TableLibrarySigns[Block],TableLibrarySigns[IFCEntity]),""))</f>
        <v/>
      </c>
      <c r="P45" t="str">
        <f>IF(B45="","",IFERROR(_xlfn.XLOOKUP(B45,TableLibrarySigns[Block],TableLibrarySigns[Category]),""))</f>
        <v/>
      </c>
      <c r="Q45" t="str">
        <f>IF(B45="","",IFERROR(_xlfn.XLOOKUP(B45,TableLibrarySigns[Block],TableLibrarySigns[Normative]),""))</f>
        <v/>
      </c>
      <c r="R45" t="str">
        <f>IF(B45="","",IFERROR(_xlfn.XLOOKUP(B45,TableLibrarySigns[Block],TableLibrarySigns[Description]),""))</f>
        <v/>
      </c>
      <c r="S45" t="str">
        <f t="shared" si="3"/>
        <v/>
      </c>
      <c r="T45" t="str">
        <f>IF(B45="","",IFERROR(_xlfn.XLOOKUP(B45,TableLibrarySigns[Block],TableLibrarySigns[UnitTime]),""))</f>
        <v/>
      </c>
      <c r="U45" t="str">
        <f>IF(B45="","",IFERROR(_xlfn.XLOOKUP(B45,TableLibrarySigns[Block],TableLibrarySigns[UnitCost]),""))</f>
        <v/>
      </c>
      <c r="V45" t="str">
        <f t="shared" si="4"/>
        <v/>
      </c>
    </row>
    <row r="46" spans="1:22" ht="16.8" customHeight="1">
      <c r="A46" t="str">
        <f t="shared" si="2"/>
        <v/>
      </c>
      <c r="D46" s="2"/>
      <c r="E46" s="6" t="str">
        <f>IF(SignsTable[[#This Row],[PKValue]]="","",IF(D46="","",INT(D46/1000)&amp;"+"&amp;TEXT(MOD(D46,1000),"000.00")))</f>
        <v/>
      </c>
      <c r="J46" t="str">
        <f>IF(B46="","",IFERROR(_xlfn.XLOOKUP(B46,TableLibrarySigns[Block],TableLibrarySigns[Material]),""))</f>
        <v/>
      </c>
      <c r="K46" t="str">
        <f>IF(B46="","",IFERROR(_xlfn.XLOOKUP(B46,TableLibrarySigns[Block],TableLibrarySigns[RotationMode]),""))</f>
        <v/>
      </c>
      <c r="L46" t="str">
        <f>IF(B46="","",IFERROR(_xlfn.XLOOKUP(B46,TableLibrarySigns[Block],TableLibrarySigns[Layer]),""))</f>
        <v/>
      </c>
      <c r="M46" t="str">
        <f>IF(B46="","",IFERROR(_xlfn.XLOOKUP(B46,TableLibrarySigns[Block],TableLibrarySigns[DWGName]),""))</f>
        <v/>
      </c>
      <c r="N46" t="str">
        <f>IF(B46="","",IFERROR(_xlfn.XLOOKUP(B46,TableLibrarySigns[Block],TableLibrarySigns[SignCode]),""))</f>
        <v/>
      </c>
      <c r="O46" t="str">
        <f>IF(B46="","",IFERROR(_xlfn.XLOOKUP(B46,TableLibrarySigns[Block],TableLibrarySigns[IFCEntity]),""))</f>
        <v/>
      </c>
      <c r="P46" t="str">
        <f>IF(B46="","",IFERROR(_xlfn.XLOOKUP(B46,TableLibrarySigns[Block],TableLibrarySigns[Category]),""))</f>
        <v/>
      </c>
      <c r="Q46" t="str">
        <f>IF(B46="","",IFERROR(_xlfn.XLOOKUP(B46,TableLibrarySigns[Block],TableLibrarySigns[Normative]),""))</f>
        <v/>
      </c>
      <c r="R46" t="str">
        <f>IF(B46="","",IFERROR(_xlfn.XLOOKUP(B46,TableLibrarySigns[Block],TableLibrarySigns[Description]),""))</f>
        <v/>
      </c>
      <c r="S46" t="str">
        <f t="shared" si="3"/>
        <v/>
      </c>
      <c r="T46" t="str">
        <f>IF(B46="","",IFERROR(_xlfn.XLOOKUP(B46,TableLibrarySigns[Block],TableLibrarySigns[UnitTime]),""))</f>
        <v/>
      </c>
      <c r="U46" t="str">
        <f>IF(B46="","",IFERROR(_xlfn.XLOOKUP(B46,TableLibrarySigns[Block],TableLibrarySigns[UnitCost]),""))</f>
        <v/>
      </c>
      <c r="V46" t="str">
        <f t="shared" si="4"/>
        <v/>
      </c>
    </row>
    <row r="47" spans="1:22" ht="16.8" customHeight="1">
      <c r="A47" t="str">
        <f t="shared" si="2"/>
        <v/>
      </c>
      <c r="D47" s="2"/>
      <c r="E47" s="6" t="str">
        <f>IF(SignsTable[[#This Row],[PKValue]]="","",IF(D47="","",INT(D47/1000)&amp;"+"&amp;TEXT(MOD(D47,1000),"000.00")))</f>
        <v/>
      </c>
      <c r="J47" t="str">
        <f>IF(B47="","",IFERROR(_xlfn.XLOOKUP(B47,TableLibrarySigns[Block],TableLibrarySigns[Material]),""))</f>
        <v/>
      </c>
      <c r="K47" t="str">
        <f>IF(B47="","",IFERROR(_xlfn.XLOOKUP(B47,TableLibrarySigns[Block],TableLibrarySigns[RotationMode]),""))</f>
        <v/>
      </c>
      <c r="L47" t="str">
        <f>IF(B47="","",IFERROR(_xlfn.XLOOKUP(B47,TableLibrarySigns[Block],TableLibrarySigns[Layer]),""))</f>
        <v/>
      </c>
      <c r="M47" t="str">
        <f>IF(B47="","",IFERROR(_xlfn.XLOOKUP(B47,TableLibrarySigns[Block],TableLibrarySigns[DWGName]),""))</f>
        <v/>
      </c>
      <c r="N47" t="str">
        <f>IF(B47="","",IFERROR(_xlfn.XLOOKUP(B47,TableLibrarySigns[Block],TableLibrarySigns[SignCode]),""))</f>
        <v/>
      </c>
      <c r="O47" t="str">
        <f>IF(B47="","",IFERROR(_xlfn.XLOOKUP(B47,TableLibrarySigns[Block],TableLibrarySigns[IFCEntity]),""))</f>
        <v/>
      </c>
      <c r="P47" t="str">
        <f>IF(B47="","",IFERROR(_xlfn.XLOOKUP(B47,TableLibrarySigns[Block],TableLibrarySigns[Category]),""))</f>
        <v/>
      </c>
      <c r="Q47" t="str">
        <f>IF(B47="","",IFERROR(_xlfn.XLOOKUP(B47,TableLibrarySigns[Block],TableLibrarySigns[Normative]),""))</f>
        <v/>
      </c>
      <c r="R47" t="str">
        <f>IF(B47="","",IFERROR(_xlfn.XLOOKUP(B47,TableLibrarySigns[Block],TableLibrarySigns[Description]),""))</f>
        <v/>
      </c>
      <c r="S47" t="str">
        <f t="shared" si="3"/>
        <v/>
      </c>
      <c r="T47" t="str">
        <f>IF(B47="","",IFERROR(_xlfn.XLOOKUP(B47,TableLibrarySigns[Block],TableLibrarySigns[UnitTime]),""))</f>
        <v/>
      </c>
      <c r="U47" t="str">
        <f>IF(B47="","",IFERROR(_xlfn.XLOOKUP(B47,TableLibrarySigns[Block],TableLibrarySigns[UnitCost]),""))</f>
        <v/>
      </c>
      <c r="V47" t="str">
        <f t="shared" si="4"/>
        <v/>
      </c>
    </row>
    <row r="48" spans="1:22" ht="16.8" customHeight="1">
      <c r="A48" t="str">
        <f t="shared" si="2"/>
        <v/>
      </c>
      <c r="D48" s="2"/>
      <c r="E48" s="6" t="str">
        <f>IF(SignsTable[[#This Row],[PKValue]]="","",IF(D48="","",INT(D48/1000)&amp;"+"&amp;TEXT(MOD(D48,1000),"000.00")))</f>
        <v/>
      </c>
      <c r="J48" t="str">
        <f>IF(B48="","",IFERROR(_xlfn.XLOOKUP(B48,TableLibrarySigns[Block],TableLibrarySigns[Material]),""))</f>
        <v/>
      </c>
      <c r="K48" t="str">
        <f>IF(B48="","",IFERROR(_xlfn.XLOOKUP(B48,TableLibrarySigns[Block],TableLibrarySigns[RotationMode]),""))</f>
        <v/>
      </c>
      <c r="L48" t="str">
        <f>IF(B48="","",IFERROR(_xlfn.XLOOKUP(B48,TableLibrarySigns[Block],TableLibrarySigns[Layer]),""))</f>
        <v/>
      </c>
      <c r="M48" t="str">
        <f>IF(B48="","",IFERROR(_xlfn.XLOOKUP(B48,TableLibrarySigns[Block],TableLibrarySigns[DWGName]),""))</f>
        <v/>
      </c>
      <c r="N48" t="str">
        <f>IF(B48="","",IFERROR(_xlfn.XLOOKUP(B48,TableLibrarySigns[Block],TableLibrarySigns[SignCode]),""))</f>
        <v/>
      </c>
      <c r="O48" t="str">
        <f>IF(B48="","",IFERROR(_xlfn.XLOOKUP(B48,TableLibrarySigns[Block],TableLibrarySigns[IFCEntity]),""))</f>
        <v/>
      </c>
      <c r="P48" t="str">
        <f>IF(B48="","",IFERROR(_xlfn.XLOOKUP(B48,TableLibrarySigns[Block],TableLibrarySigns[Category]),""))</f>
        <v/>
      </c>
      <c r="Q48" t="str">
        <f>IF(B48="","",IFERROR(_xlfn.XLOOKUP(B48,TableLibrarySigns[Block],TableLibrarySigns[Normative]),""))</f>
        <v/>
      </c>
      <c r="R48" t="str">
        <f>IF(B48="","",IFERROR(_xlfn.XLOOKUP(B48,TableLibrarySigns[Block],TableLibrarySigns[Description]),""))</f>
        <v/>
      </c>
      <c r="S48" t="str">
        <f t="shared" si="3"/>
        <v/>
      </c>
      <c r="T48" t="str">
        <f>IF(B48="","",IFERROR(_xlfn.XLOOKUP(B48,TableLibrarySigns[Block],TableLibrarySigns[UnitTime]),""))</f>
        <v/>
      </c>
      <c r="U48" t="str">
        <f>IF(B48="","",IFERROR(_xlfn.XLOOKUP(B48,TableLibrarySigns[Block],TableLibrarySigns[UnitCost]),""))</f>
        <v/>
      </c>
      <c r="V48" t="str">
        <f t="shared" si="4"/>
        <v/>
      </c>
    </row>
    <row r="49" spans="1:22" ht="16.8" customHeight="1">
      <c r="A49" t="str">
        <f t="shared" si="2"/>
        <v/>
      </c>
      <c r="D49" s="2"/>
      <c r="E49" s="6" t="str">
        <f>IF(SignsTable[[#This Row],[PKValue]]="","",IF(D49="","",INT(D49/1000)&amp;"+"&amp;TEXT(MOD(D49,1000),"000.00")))</f>
        <v/>
      </c>
      <c r="J49" t="str">
        <f>IF(B49="","",IFERROR(_xlfn.XLOOKUP(B49,TableLibrarySigns[Block],TableLibrarySigns[Material]),""))</f>
        <v/>
      </c>
      <c r="K49" t="str">
        <f>IF(B49="","",IFERROR(_xlfn.XLOOKUP(B49,TableLibrarySigns[Block],TableLibrarySigns[RotationMode]),""))</f>
        <v/>
      </c>
      <c r="L49" t="str">
        <f>IF(B49="","",IFERROR(_xlfn.XLOOKUP(B49,TableLibrarySigns[Block],TableLibrarySigns[Layer]),""))</f>
        <v/>
      </c>
      <c r="M49" t="str">
        <f>IF(B49="","",IFERROR(_xlfn.XLOOKUP(B49,TableLibrarySigns[Block],TableLibrarySigns[DWGName]),""))</f>
        <v/>
      </c>
      <c r="N49" t="str">
        <f>IF(B49="","",IFERROR(_xlfn.XLOOKUP(B49,TableLibrarySigns[Block],TableLibrarySigns[SignCode]),""))</f>
        <v/>
      </c>
      <c r="O49" t="str">
        <f>IF(B49="","",IFERROR(_xlfn.XLOOKUP(B49,TableLibrarySigns[Block],TableLibrarySigns[IFCEntity]),""))</f>
        <v/>
      </c>
      <c r="P49" t="str">
        <f>IF(B49="","",IFERROR(_xlfn.XLOOKUP(B49,TableLibrarySigns[Block],TableLibrarySigns[Category]),""))</f>
        <v/>
      </c>
      <c r="Q49" t="str">
        <f>IF(B49="","",IFERROR(_xlfn.XLOOKUP(B49,TableLibrarySigns[Block],TableLibrarySigns[Normative]),""))</f>
        <v/>
      </c>
      <c r="R49" t="str">
        <f>IF(B49="","",IFERROR(_xlfn.XLOOKUP(B49,TableLibrarySigns[Block],TableLibrarySigns[Description]),""))</f>
        <v/>
      </c>
      <c r="S49" t="str">
        <f t="shared" si="3"/>
        <v/>
      </c>
      <c r="T49" t="str">
        <f>IF(B49="","",IFERROR(_xlfn.XLOOKUP(B49,TableLibrarySigns[Block],TableLibrarySigns[UnitTime]),""))</f>
        <v/>
      </c>
      <c r="U49" t="str">
        <f>IF(B49="","",IFERROR(_xlfn.XLOOKUP(B49,TableLibrarySigns[Block],TableLibrarySigns[UnitCost]),""))</f>
        <v/>
      </c>
      <c r="V49" t="str">
        <f t="shared" si="4"/>
        <v/>
      </c>
    </row>
    <row r="50" spans="1:22" ht="16.8" customHeight="1">
      <c r="A50" t="str">
        <f t="shared" si="2"/>
        <v/>
      </c>
      <c r="D50" s="2"/>
      <c r="E50" s="6" t="str">
        <f>IF(SignsTable[[#This Row],[PKValue]]="","",IF(D50="","",INT(D50/1000)&amp;"+"&amp;TEXT(MOD(D50,1000),"000.00")))</f>
        <v/>
      </c>
      <c r="J50" t="str">
        <f>IF(B50="","",IFERROR(_xlfn.XLOOKUP(B50,TableLibrarySigns[Block],TableLibrarySigns[Material]),""))</f>
        <v/>
      </c>
      <c r="K50" t="str">
        <f>IF(B50="","",IFERROR(_xlfn.XLOOKUP(B50,TableLibrarySigns[Block],TableLibrarySigns[RotationMode]),""))</f>
        <v/>
      </c>
      <c r="L50" t="str">
        <f>IF(B50="","",IFERROR(_xlfn.XLOOKUP(B50,TableLibrarySigns[Block],TableLibrarySigns[Layer]),""))</f>
        <v/>
      </c>
      <c r="M50" t="str">
        <f>IF(B50="","",IFERROR(_xlfn.XLOOKUP(B50,TableLibrarySigns[Block],TableLibrarySigns[DWGName]),""))</f>
        <v/>
      </c>
      <c r="N50" t="str">
        <f>IF(B50="","",IFERROR(_xlfn.XLOOKUP(B50,TableLibrarySigns[Block],TableLibrarySigns[SignCode]),""))</f>
        <v/>
      </c>
      <c r="O50" t="str">
        <f>IF(B50="","",IFERROR(_xlfn.XLOOKUP(B50,TableLibrarySigns[Block],TableLibrarySigns[IFCEntity]),""))</f>
        <v/>
      </c>
      <c r="P50" t="str">
        <f>IF(B50="","",IFERROR(_xlfn.XLOOKUP(B50,TableLibrarySigns[Block],TableLibrarySigns[Category]),""))</f>
        <v/>
      </c>
      <c r="Q50" t="str">
        <f>IF(B50="","",IFERROR(_xlfn.XLOOKUP(B50,TableLibrarySigns[Block],TableLibrarySigns[Normative]),""))</f>
        <v/>
      </c>
      <c r="R50" t="str">
        <f>IF(B50="","",IFERROR(_xlfn.XLOOKUP(B50,TableLibrarySigns[Block],TableLibrarySigns[Description]),""))</f>
        <v/>
      </c>
      <c r="S50" t="str">
        <f t="shared" si="3"/>
        <v/>
      </c>
      <c r="T50" t="str">
        <f>IF(B50="","",IFERROR(_xlfn.XLOOKUP(B50,TableLibrarySigns[Block],TableLibrarySigns[UnitTime]),""))</f>
        <v/>
      </c>
      <c r="U50" t="str">
        <f>IF(B50="","",IFERROR(_xlfn.XLOOKUP(B50,TableLibrarySigns[Block],TableLibrarySigns[UnitCost]),""))</f>
        <v/>
      </c>
      <c r="V50" t="str">
        <f t="shared" si="4"/>
        <v/>
      </c>
    </row>
    <row r="51" spans="1:22" ht="16.8" customHeight="1">
      <c r="A51" t="str">
        <f t="shared" si="2"/>
        <v/>
      </c>
      <c r="D51" s="2"/>
      <c r="E51" s="6" t="str">
        <f>IF(SignsTable[[#This Row],[PKValue]]="","",IF(D51="","",INT(D51/1000)&amp;"+"&amp;TEXT(MOD(D51,1000),"000.00")))</f>
        <v/>
      </c>
      <c r="J51" t="str">
        <f>IF(B51="","",IFERROR(_xlfn.XLOOKUP(B51,TableLibrarySigns[Block],TableLibrarySigns[Material]),""))</f>
        <v/>
      </c>
      <c r="K51" t="str">
        <f>IF(B51="","",IFERROR(_xlfn.XLOOKUP(B51,TableLibrarySigns[Block],TableLibrarySigns[RotationMode]),""))</f>
        <v/>
      </c>
      <c r="L51" t="str">
        <f>IF(B51="","",IFERROR(_xlfn.XLOOKUP(B51,TableLibrarySigns[Block],TableLibrarySigns[Layer]),""))</f>
        <v/>
      </c>
      <c r="M51" t="str">
        <f>IF(B51="","",IFERROR(_xlfn.XLOOKUP(B51,TableLibrarySigns[Block],TableLibrarySigns[DWGName]),""))</f>
        <v/>
      </c>
      <c r="N51" t="str">
        <f>IF(B51="","",IFERROR(_xlfn.XLOOKUP(B51,TableLibrarySigns[Block],TableLibrarySigns[SignCode]),""))</f>
        <v/>
      </c>
      <c r="O51" t="str">
        <f>IF(B51="","",IFERROR(_xlfn.XLOOKUP(B51,TableLibrarySigns[Block],TableLibrarySigns[IFCEntity]),""))</f>
        <v/>
      </c>
      <c r="P51" t="str">
        <f>IF(B51="","",IFERROR(_xlfn.XLOOKUP(B51,TableLibrarySigns[Block],TableLibrarySigns[Category]),""))</f>
        <v/>
      </c>
      <c r="Q51" t="str">
        <f>IF(B51="","",IFERROR(_xlfn.XLOOKUP(B51,TableLibrarySigns[Block],TableLibrarySigns[Normative]),""))</f>
        <v/>
      </c>
      <c r="R51" t="str">
        <f>IF(B51="","",IFERROR(_xlfn.XLOOKUP(B51,TableLibrarySigns[Block],TableLibrarySigns[Description]),""))</f>
        <v/>
      </c>
      <c r="S51" t="str">
        <f t="shared" si="3"/>
        <v/>
      </c>
      <c r="T51" t="str">
        <f>IF(B51="","",IFERROR(_xlfn.XLOOKUP(B51,TableLibrarySigns[Block],TableLibrarySigns[UnitTime]),""))</f>
        <v/>
      </c>
      <c r="U51" t="str">
        <f>IF(B51="","",IFERROR(_xlfn.XLOOKUP(B51,TableLibrarySigns[Block],TableLibrarySigns[UnitCost]),""))</f>
        <v/>
      </c>
      <c r="V51" t="str">
        <f t="shared" si="4"/>
        <v/>
      </c>
    </row>
    <row r="52" spans="1:22" ht="16.8" customHeight="1">
      <c r="A52" t="str">
        <f t="shared" si="2"/>
        <v/>
      </c>
      <c r="D52" s="2"/>
      <c r="E52" s="6" t="str">
        <f>IF(SignsTable[[#This Row],[PKValue]]="","",IF(D52="","",INT(D52/1000)&amp;"+"&amp;TEXT(MOD(D52,1000),"000.00")))</f>
        <v/>
      </c>
      <c r="J52" t="str">
        <f>IF(B52="","",IFERROR(_xlfn.XLOOKUP(B52,TableLibrarySigns[Block],TableLibrarySigns[Material]),""))</f>
        <v/>
      </c>
      <c r="K52" t="str">
        <f>IF(B52="","",IFERROR(_xlfn.XLOOKUP(B52,TableLibrarySigns[Block],TableLibrarySigns[RotationMode]),""))</f>
        <v/>
      </c>
      <c r="L52" t="str">
        <f>IF(B52="","",IFERROR(_xlfn.XLOOKUP(B52,TableLibrarySigns[Block],TableLibrarySigns[Layer]),""))</f>
        <v/>
      </c>
      <c r="M52" t="str">
        <f>IF(B52="","",IFERROR(_xlfn.XLOOKUP(B52,TableLibrarySigns[Block],TableLibrarySigns[DWGName]),""))</f>
        <v/>
      </c>
      <c r="N52" t="str">
        <f>IF(B52="","",IFERROR(_xlfn.XLOOKUP(B52,TableLibrarySigns[Block],TableLibrarySigns[SignCode]),""))</f>
        <v/>
      </c>
      <c r="O52" t="str">
        <f>IF(B52="","",IFERROR(_xlfn.XLOOKUP(B52,TableLibrarySigns[Block],TableLibrarySigns[IFCEntity]),""))</f>
        <v/>
      </c>
      <c r="P52" t="str">
        <f>IF(B52="","",IFERROR(_xlfn.XLOOKUP(B52,TableLibrarySigns[Block],TableLibrarySigns[Category]),""))</f>
        <v/>
      </c>
      <c r="Q52" t="str">
        <f>IF(B52="","",IFERROR(_xlfn.XLOOKUP(B52,TableLibrarySigns[Block],TableLibrarySigns[Normative]),""))</f>
        <v/>
      </c>
      <c r="R52" t="str">
        <f>IF(B52="","",IFERROR(_xlfn.XLOOKUP(B52,TableLibrarySigns[Block],TableLibrarySigns[Description]),""))</f>
        <v/>
      </c>
      <c r="S52" t="str">
        <f t="shared" si="3"/>
        <v/>
      </c>
      <c r="T52" t="str">
        <f>IF(B52="","",IFERROR(_xlfn.XLOOKUP(B52,TableLibrarySigns[Block],TableLibrarySigns[UnitTime]),""))</f>
        <v/>
      </c>
      <c r="U52" t="str">
        <f>IF(B52="","",IFERROR(_xlfn.XLOOKUP(B52,TableLibrarySigns[Block],TableLibrarySigns[UnitCost]),""))</f>
        <v/>
      </c>
      <c r="V52" t="str">
        <f t="shared" si="4"/>
        <v/>
      </c>
    </row>
    <row r="53" spans="1:22" ht="16.8" customHeight="1">
      <c r="A53" t="str">
        <f t="shared" si="2"/>
        <v/>
      </c>
      <c r="D53" s="2"/>
      <c r="E53" s="6" t="str">
        <f>IF(SignsTable[[#This Row],[PKValue]]="","",IF(D53="","",INT(D53/1000)&amp;"+"&amp;TEXT(MOD(D53,1000),"000.00")))</f>
        <v/>
      </c>
      <c r="J53" t="str">
        <f>IF(B53="","",IFERROR(_xlfn.XLOOKUP(B53,TableLibrarySigns[Block],TableLibrarySigns[Material]),""))</f>
        <v/>
      </c>
      <c r="K53" t="str">
        <f>IF(B53="","",IFERROR(_xlfn.XLOOKUP(B53,TableLibrarySigns[Block],TableLibrarySigns[RotationMode]),""))</f>
        <v/>
      </c>
      <c r="L53" t="str">
        <f>IF(B53="","",IFERROR(_xlfn.XLOOKUP(B53,TableLibrarySigns[Block],TableLibrarySigns[Layer]),""))</f>
        <v/>
      </c>
      <c r="M53" t="str">
        <f>IF(B53="","",IFERROR(_xlfn.XLOOKUP(B53,TableLibrarySigns[Block],TableLibrarySigns[DWGName]),""))</f>
        <v/>
      </c>
      <c r="N53" t="str">
        <f>IF(B53="","",IFERROR(_xlfn.XLOOKUP(B53,TableLibrarySigns[Block],TableLibrarySigns[SignCode]),""))</f>
        <v/>
      </c>
      <c r="O53" t="str">
        <f>IF(B53="","",IFERROR(_xlfn.XLOOKUP(B53,TableLibrarySigns[Block],TableLibrarySigns[IFCEntity]),""))</f>
        <v/>
      </c>
      <c r="P53" t="str">
        <f>IF(B53="","",IFERROR(_xlfn.XLOOKUP(B53,TableLibrarySigns[Block],TableLibrarySigns[Category]),""))</f>
        <v/>
      </c>
      <c r="Q53" t="str">
        <f>IF(B53="","",IFERROR(_xlfn.XLOOKUP(B53,TableLibrarySigns[Block],TableLibrarySigns[Normative]),""))</f>
        <v/>
      </c>
      <c r="R53" t="str">
        <f>IF(B53="","",IFERROR(_xlfn.XLOOKUP(B53,TableLibrarySigns[Block],TableLibrarySigns[Description]),""))</f>
        <v/>
      </c>
      <c r="S53" t="str">
        <f t="shared" si="3"/>
        <v/>
      </c>
      <c r="T53" t="str">
        <f>IF(B53="","",IFERROR(_xlfn.XLOOKUP(B53,TableLibrarySigns[Block],TableLibrarySigns[UnitTime]),""))</f>
        <v/>
      </c>
      <c r="U53" t="str">
        <f>IF(B53="","",IFERROR(_xlfn.XLOOKUP(B53,TableLibrarySigns[Block],TableLibrarySigns[UnitCost]),""))</f>
        <v/>
      </c>
      <c r="V53" t="str">
        <f t="shared" si="4"/>
        <v/>
      </c>
    </row>
    <row r="54" spans="1:22" ht="16.8" customHeight="1">
      <c r="A54" t="str">
        <f t="shared" si="2"/>
        <v/>
      </c>
      <c r="D54" s="2"/>
      <c r="E54" s="6" t="str">
        <f>IF(SignsTable[[#This Row],[PKValue]]="","",IF(D54="","",INT(D54/1000)&amp;"+"&amp;TEXT(MOD(D54,1000),"000.00")))</f>
        <v/>
      </c>
      <c r="J54" t="str">
        <f>IF(B54="","",IFERROR(_xlfn.XLOOKUP(B54,TableLibrarySigns[Block],TableLibrarySigns[Material]),""))</f>
        <v/>
      </c>
      <c r="K54" t="str">
        <f>IF(B54="","",IFERROR(_xlfn.XLOOKUP(B54,TableLibrarySigns[Block],TableLibrarySigns[RotationMode]),""))</f>
        <v/>
      </c>
      <c r="L54" t="str">
        <f>IF(B54="","",IFERROR(_xlfn.XLOOKUP(B54,TableLibrarySigns[Block],TableLibrarySigns[Layer]),""))</f>
        <v/>
      </c>
      <c r="M54" t="str">
        <f>IF(B54="","",IFERROR(_xlfn.XLOOKUP(B54,TableLibrarySigns[Block],TableLibrarySigns[DWGName]),""))</f>
        <v/>
      </c>
      <c r="N54" t="str">
        <f>IF(B54="","",IFERROR(_xlfn.XLOOKUP(B54,TableLibrarySigns[Block],TableLibrarySigns[SignCode]),""))</f>
        <v/>
      </c>
      <c r="O54" t="str">
        <f>IF(B54="","",IFERROR(_xlfn.XLOOKUP(B54,TableLibrarySigns[Block],TableLibrarySigns[IFCEntity]),""))</f>
        <v/>
      </c>
      <c r="P54" t="str">
        <f>IF(B54="","",IFERROR(_xlfn.XLOOKUP(B54,TableLibrarySigns[Block],TableLibrarySigns[Category]),""))</f>
        <v/>
      </c>
      <c r="Q54" t="str">
        <f>IF(B54="","",IFERROR(_xlfn.XLOOKUP(B54,TableLibrarySigns[Block],TableLibrarySigns[Normative]),""))</f>
        <v/>
      </c>
      <c r="R54" t="str">
        <f>IF(B54="","",IFERROR(_xlfn.XLOOKUP(B54,TableLibrarySigns[Block],TableLibrarySigns[Description]),""))</f>
        <v/>
      </c>
      <c r="S54" t="str">
        <f t="shared" si="3"/>
        <v/>
      </c>
      <c r="T54" t="str">
        <f>IF(B54="","",IFERROR(_xlfn.XLOOKUP(B54,TableLibrarySigns[Block],TableLibrarySigns[UnitTime]),""))</f>
        <v/>
      </c>
      <c r="U54" t="str">
        <f>IF(B54="","",IFERROR(_xlfn.XLOOKUP(B54,TableLibrarySigns[Block],TableLibrarySigns[UnitCost]),""))</f>
        <v/>
      </c>
      <c r="V54" t="str">
        <f t="shared" si="4"/>
        <v/>
      </c>
    </row>
    <row r="55" spans="1:22" ht="16.8" customHeight="1">
      <c r="A55" t="str">
        <f t="shared" si="2"/>
        <v/>
      </c>
      <c r="D55" s="2"/>
      <c r="E55" s="6" t="str">
        <f>IF(SignsTable[[#This Row],[PKValue]]="","",IF(D55="","",INT(D55/1000)&amp;"+"&amp;TEXT(MOD(D55,1000),"000.00")))</f>
        <v/>
      </c>
      <c r="J55" t="str">
        <f>IF(B55="","",IFERROR(_xlfn.XLOOKUP(B55,TableLibrarySigns[Block],TableLibrarySigns[Material]),""))</f>
        <v/>
      </c>
      <c r="K55" t="str">
        <f>IF(B55="","",IFERROR(_xlfn.XLOOKUP(B55,TableLibrarySigns[Block],TableLibrarySigns[RotationMode]),""))</f>
        <v/>
      </c>
      <c r="L55" t="str">
        <f>IF(B55="","",IFERROR(_xlfn.XLOOKUP(B55,TableLibrarySigns[Block],TableLibrarySigns[Layer]),""))</f>
        <v/>
      </c>
      <c r="M55" t="str">
        <f>IF(B55="","",IFERROR(_xlfn.XLOOKUP(B55,TableLibrarySigns[Block],TableLibrarySigns[DWGName]),""))</f>
        <v/>
      </c>
      <c r="N55" t="str">
        <f>IF(B55="","",IFERROR(_xlfn.XLOOKUP(B55,TableLibrarySigns[Block],TableLibrarySigns[SignCode]),""))</f>
        <v/>
      </c>
      <c r="O55" t="str">
        <f>IF(B55="","",IFERROR(_xlfn.XLOOKUP(B55,TableLibrarySigns[Block],TableLibrarySigns[IFCEntity]),""))</f>
        <v/>
      </c>
      <c r="P55" t="str">
        <f>IF(B55="","",IFERROR(_xlfn.XLOOKUP(B55,TableLibrarySigns[Block],TableLibrarySigns[Category]),""))</f>
        <v/>
      </c>
      <c r="Q55" t="str">
        <f>IF(B55="","",IFERROR(_xlfn.XLOOKUP(B55,TableLibrarySigns[Block],TableLibrarySigns[Normative]),""))</f>
        <v/>
      </c>
      <c r="R55" t="str">
        <f>IF(B55="","",IFERROR(_xlfn.XLOOKUP(B55,TableLibrarySigns[Block],TableLibrarySigns[Description]),""))</f>
        <v/>
      </c>
      <c r="S55" t="str">
        <f t="shared" si="3"/>
        <v/>
      </c>
      <c r="T55" t="str">
        <f>IF(B55="","",IFERROR(_xlfn.XLOOKUP(B55,TableLibrarySigns[Block],TableLibrarySigns[UnitTime]),""))</f>
        <v/>
      </c>
      <c r="U55" t="str">
        <f>IF(B55="","",IFERROR(_xlfn.XLOOKUP(B55,TableLibrarySigns[Block],TableLibrarySigns[UnitCost]),""))</f>
        <v/>
      </c>
      <c r="V55" t="str">
        <f t="shared" si="4"/>
        <v/>
      </c>
    </row>
    <row r="56" spans="1:22" ht="16.8" customHeight="1">
      <c r="A56" t="str">
        <f t="shared" si="2"/>
        <v/>
      </c>
      <c r="D56" s="2"/>
      <c r="E56" s="6" t="str">
        <f>IF(SignsTable[[#This Row],[PKValue]]="","",IF(D56="","",INT(D56/1000)&amp;"+"&amp;TEXT(MOD(D56,1000),"000.00")))</f>
        <v/>
      </c>
      <c r="J56" t="str">
        <f>IF(B56="","",IFERROR(_xlfn.XLOOKUP(B56,TableLibrarySigns[Block],TableLibrarySigns[Material]),""))</f>
        <v/>
      </c>
      <c r="K56" t="str">
        <f>IF(B56="","",IFERROR(_xlfn.XLOOKUP(B56,TableLibrarySigns[Block],TableLibrarySigns[RotationMode]),""))</f>
        <v/>
      </c>
      <c r="L56" t="str">
        <f>IF(B56="","",IFERROR(_xlfn.XLOOKUP(B56,TableLibrarySigns[Block],TableLibrarySigns[Layer]),""))</f>
        <v/>
      </c>
      <c r="M56" t="str">
        <f>IF(B56="","",IFERROR(_xlfn.XLOOKUP(B56,TableLibrarySigns[Block],TableLibrarySigns[DWGName]),""))</f>
        <v/>
      </c>
      <c r="N56" t="str">
        <f>IF(B56="","",IFERROR(_xlfn.XLOOKUP(B56,TableLibrarySigns[Block],TableLibrarySigns[SignCode]),""))</f>
        <v/>
      </c>
      <c r="O56" t="str">
        <f>IF(B56="","",IFERROR(_xlfn.XLOOKUP(B56,TableLibrarySigns[Block],TableLibrarySigns[IFCEntity]),""))</f>
        <v/>
      </c>
      <c r="P56" t="str">
        <f>IF(B56="","",IFERROR(_xlfn.XLOOKUP(B56,TableLibrarySigns[Block],TableLibrarySigns[Category]),""))</f>
        <v/>
      </c>
      <c r="Q56" t="str">
        <f>IF(B56="","",IFERROR(_xlfn.XLOOKUP(B56,TableLibrarySigns[Block],TableLibrarySigns[Normative]),""))</f>
        <v/>
      </c>
      <c r="R56" t="str">
        <f>IF(B56="","",IFERROR(_xlfn.XLOOKUP(B56,TableLibrarySigns[Block],TableLibrarySigns[Description]),""))</f>
        <v/>
      </c>
      <c r="S56" t="str">
        <f t="shared" si="3"/>
        <v/>
      </c>
      <c r="T56" t="str">
        <f>IF(B56="","",IFERROR(_xlfn.XLOOKUP(B56,TableLibrarySigns[Block],TableLibrarySigns[UnitTime]),""))</f>
        <v/>
      </c>
      <c r="U56" t="str">
        <f>IF(B56="","",IFERROR(_xlfn.XLOOKUP(B56,TableLibrarySigns[Block],TableLibrarySigns[UnitCost]),""))</f>
        <v/>
      </c>
      <c r="V56" t="str">
        <f t="shared" si="4"/>
        <v/>
      </c>
    </row>
    <row r="57" spans="1:22" ht="16.8" customHeight="1">
      <c r="A57" t="str">
        <f t="shared" si="2"/>
        <v/>
      </c>
      <c r="D57" s="2"/>
      <c r="E57" s="6" t="str">
        <f>IF(SignsTable[[#This Row],[PKValue]]="","",IF(D57="","",INT(D57/1000)&amp;"+"&amp;TEXT(MOD(D57,1000),"000.00")))</f>
        <v/>
      </c>
      <c r="J57" t="str">
        <f>IF(B57="","",IFERROR(_xlfn.XLOOKUP(B57,TableLibrarySigns[Block],TableLibrarySigns[Material]),""))</f>
        <v/>
      </c>
      <c r="K57" t="str">
        <f>IF(B57="","",IFERROR(_xlfn.XLOOKUP(B57,TableLibrarySigns[Block],TableLibrarySigns[RotationMode]),""))</f>
        <v/>
      </c>
      <c r="L57" t="str">
        <f>IF(B57="","",IFERROR(_xlfn.XLOOKUP(B57,TableLibrarySigns[Block],TableLibrarySigns[Layer]),""))</f>
        <v/>
      </c>
      <c r="M57" t="str">
        <f>IF(B57="","",IFERROR(_xlfn.XLOOKUP(B57,TableLibrarySigns[Block],TableLibrarySigns[DWGName]),""))</f>
        <v/>
      </c>
      <c r="N57" t="str">
        <f>IF(B57="","",IFERROR(_xlfn.XLOOKUP(B57,TableLibrarySigns[Block],TableLibrarySigns[SignCode]),""))</f>
        <v/>
      </c>
      <c r="O57" t="str">
        <f>IF(B57="","",IFERROR(_xlfn.XLOOKUP(B57,TableLibrarySigns[Block],TableLibrarySigns[IFCEntity]),""))</f>
        <v/>
      </c>
      <c r="P57" t="str">
        <f>IF(B57="","",IFERROR(_xlfn.XLOOKUP(B57,TableLibrarySigns[Block],TableLibrarySigns[Category]),""))</f>
        <v/>
      </c>
      <c r="Q57" t="str">
        <f>IF(B57="","",IFERROR(_xlfn.XLOOKUP(B57,TableLibrarySigns[Block],TableLibrarySigns[Normative]),""))</f>
        <v/>
      </c>
      <c r="R57" t="str">
        <f>IF(B57="","",IFERROR(_xlfn.XLOOKUP(B57,TableLibrarySigns[Block],TableLibrarySigns[Description]),""))</f>
        <v/>
      </c>
      <c r="S57" t="str">
        <f t="shared" si="3"/>
        <v/>
      </c>
      <c r="T57" t="str">
        <f>IF(B57="","",IFERROR(_xlfn.XLOOKUP(B57,TableLibrarySigns[Block],TableLibrarySigns[UnitTime]),""))</f>
        <v/>
      </c>
      <c r="U57" t="str">
        <f>IF(B57="","",IFERROR(_xlfn.XLOOKUP(B57,TableLibrarySigns[Block],TableLibrarySigns[UnitCost]),""))</f>
        <v/>
      </c>
      <c r="V57" t="str">
        <f t="shared" si="4"/>
        <v/>
      </c>
    </row>
    <row r="58" spans="1:22" ht="16.8" customHeight="1">
      <c r="A58" t="str">
        <f t="shared" si="2"/>
        <v/>
      </c>
      <c r="D58" s="2"/>
      <c r="E58" s="6" t="str">
        <f>IF(SignsTable[[#This Row],[PKValue]]="","",IF(D58="","",INT(D58/1000)&amp;"+"&amp;TEXT(MOD(D58,1000),"000.00")))</f>
        <v/>
      </c>
      <c r="J58" t="str">
        <f>IF(B58="","",IFERROR(_xlfn.XLOOKUP(B58,TableLibrarySigns[Block],TableLibrarySigns[Material]),""))</f>
        <v/>
      </c>
      <c r="K58" t="str">
        <f>IF(B58="","",IFERROR(_xlfn.XLOOKUP(B58,TableLibrarySigns[Block],TableLibrarySigns[RotationMode]),""))</f>
        <v/>
      </c>
      <c r="L58" t="str">
        <f>IF(B58="","",IFERROR(_xlfn.XLOOKUP(B58,TableLibrarySigns[Block],TableLibrarySigns[Layer]),""))</f>
        <v/>
      </c>
      <c r="M58" t="str">
        <f>IF(B58="","",IFERROR(_xlfn.XLOOKUP(B58,TableLibrarySigns[Block],TableLibrarySigns[DWGName]),""))</f>
        <v/>
      </c>
      <c r="N58" t="str">
        <f>IF(B58="","",IFERROR(_xlfn.XLOOKUP(B58,TableLibrarySigns[Block],TableLibrarySigns[SignCode]),""))</f>
        <v/>
      </c>
      <c r="O58" t="str">
        <f>IF(B58="","",IFERROR(_xlfn.XLOOKUP(B58,TableLibrarySigns[Block],TableLibrarySigns[IFCEntity]),""))</f>
        <v/>
      </c>
      <c r="P58" t="str">
        <f>IF(B58="","",IFERROR(_xlfn.XLOOKUP(B58,TableLibrarySigns[Block],TableLibrarySigns[Category]),""))</f>
        <v/>
      </c>
      <c r="Q58" t="str">
        <f>IF(B58="","",IFERROR(_xlfn.XLOOKUP(B58,TableLibrarySigns[Block],TableLibrarySigns[Normative]),""))</f>
        <v/>
      </c>
      <c r="R58" t="str">
        <f>IF(B58="","",IFERROR(_xlfn.XLOOKUP(B58,TableLibrarySigns[Block],TableLibrarySigns[Description]),""))</f>
        <v/>
      </c>
      <c r="S58" t="str">
        <f t="shared" si="3"/>
        <v/>
      </c>
      <c r="T58" t="str">
        <f>IF(B58="","",IFERROR(_xlfn.XLOOKUP(B58,TableLibrarySigns[Block],TableLibrarySigns[UnitTime]),""))</f>
        <v/>
      </c>
      <c r="U58" t="str">
        <f>IF(B58="","",IFERROR(_xlfn.XLOOKUP(B58,TableLibrarySigns[Block],TableLibrarySigns[UnitCost]),""))</f>
        <v/>
      </c>
      <c r="V58" t="str">
        <f t="shared" si="4"/>
        <v/>
      </c>
    </row>
    <row r="59" spans="1:22" ht="16.8" customHeight="1">
      <c r="A59" t="str">
        <f t="shared" si="2"/>
        <v/>
      </c>
      <c r="D59" s="2"/>
      <c r="E59" s="6" t="str">
        <f>IF(SignsTable[[#This Row],[PKValue]]="","",IF(D59="","",INT(D59/1000)&amp;"+"&amp;TEXT(MOD(D59,1000),"000.00")))</f>
        <v/>
      </c>
      <c r="J59" t="str">
        <f>IF(B59="","",IFERROR(_xlfn.XLOOKUP(B59,TableLibrarySigns[Block],TableLibrarySigns[Material]),""))</f>
        <v/>
      </c>
      <c r="K59" t="str">
        <f>IF(B59="","",IFERROR(_xlfn.XLOOKUP(B59,TableLibrarySigns[Block],TableLibrarySigns[RotationMode]),""))</f>
        <v/>
      </c>
      <c r="L59" t="str">
        <f>IF(B59="","",IFERROR(_xlfn.XLOOKUP(B59,TableLibrarySigns[Block],TableLibrarySigns[Layer]),""))</f>
        <v/>
      </c>
      <c r="M59" t="str">
        <f>IF(B59="","",IFERROR(_xlfn.XLOOKUP(B59,TableLibrarySigns[Block],TableLibrarySigns[DWGName]),""))</f>
        <v/>
      </c>
      <c r="N59" t="str">
        <f>IF(B59="","",IFERROR(_xlfn.XLOOKUP(B59,TableLibrarySigns[Block],TableLibrarySigns[SignCode]),""))</f>
        <v/>
      </c>
      <c r="O59" t="str">
        <f>IF(B59="","",IFERROR(_xlfn.XLOOKUP(B59,TableLibrarySigns[Block],TableLibrarySigns[IFCEntity]),""))</f>
        <v/>
      </c>
      <c r="P59" t="str">
        <f>IF(B59="","",IFERROR(_xlfn.XLOOKUP(B59,TableLibrarySigns[Block],TableLibrarySigns[Category]),""))</f>
        <v/>
      </c>
      <c r="Q59" t="str">
        <f>IF(B59="","",IFERROR(_xlfn.XLOOKUP(B59,TableLibrarySigns[Block],TableLibrarySigns[Normative]),""))</f>
        <v/>
      </c>
      <c r="R59" t="str">
        <f>IF(B59="","",IFERROR(_xlfn.XLOOKUP(B59,TableLibrarySigns[Block],TableLibrarySigns[Description]),""))</f>
        <v/>
      </c>
      <c r="S59" t="str">
        <f t="shared" si="3"/>
        <v/>
      </c>
      <c r="T59" t="str">
        <f>IF(B59="","",IFERROR(_xlfn.XLOOKUP(B59,TableLibrarySigns[Block],TableLibrarySigns[UnitTime]),""))</f>
        <v/>
      </c>
      <c r="U59" t="str">
        <f>IF(B59="","",IFERROR(_xlfn.XLOOKUP(B59,TableLibrarySigns[Block],TableLibrarySigns[UnitCost]),""))</f>
        <v/>
      </c>
      <c r="V59" t="str">
        <f t="shared" si="4"/>
        <v/>
      </c>
    </row>
    <row r="60" spans="1:22" ht="16.8" customHeight="1">
      <c r="A60" t="str">
        <f t="shared" si="2"/>
        <v/>
      </c>
      <c r="D60" s="2"/>
      <c r="E60" s="6" t="str">
        <f>IF(SignsTable[[#This Row],[PKValue]]="","",IF(D60="","",INT(D60/1000)&amp;"+"&amp;TEXT(MOD(D60,1000),"000.00")))</f>
        <v/>
      </c>
      <c r="J60" t="str">
        <f>IF(B60="","",IFERROR(_xlfn.XLOOKUP(B60,TableLibrarySigns[Block],TableLibrarySigns[Material]),""))</f>
        <v/>
      </c>
      <c r="K60" t="str">
        <f>IF(B60="","",IFERROR(_xlfn.XLOOKUP(B60,TableLibrarySigns[Block],TableLibrarySigns[RotationMode]),""))</f>
        <v/>
      </c>
      <c r="L60" t="str">
        <f>IF(B60="","",IFERROR(_xlfn.XLOOKUP(B60,TableLibrarySigns[Block],TableLibrarySigns[Layer]),""))</f>
        <v/>
      </c>
      <c r="M60" t="str">
        <f>IF(B60="","",IFERROR(_xlfn.XLOOKUP(B60,TableLibrarySigns[Block],TableLibrarySigns[DWGName]),""))</f>
        <v/>
      </c>
      <c r="N60" t="str">
        <f>IF(B60="","",IFERROR(_xlfn.XLOOKUP(B60,TableLibrarySigns[Block],TableLibrarySigns[SignCode]),""))</f>
        <v/>
      </c>
      <c r="O60" t="str">
        <f>IF(B60="","",IFERROR(_xlfn.XLOOKUP(B60,TableLibrarySigns[Block],TableLibrarySigns[IFCEntity]),""))</f>
        <v/>
      </c>
      <c r="P60" t="str">
        <f>IF(B60="","",IFERROR(_xlfn.XLOOKUP(B60,TableLibrarySigns[Block],TableLibrarySigns[Category]),""))</f>
        <v/>
      </c>
      <c r="Q60" t="str">
        <f>IF(B60="","",IFERROR(_xlfn.XLOOKUP(B60,TableLibrarySigns[Block],TableLibrarySigns[Normative]),""))</f>
        <v/>
      </c>
      <c r="R60" t="str">
        <f>IF(B60="","",IFERROR(_xlfn.XLOOKUP(B60,TableLibrarySigns[Block],TableLibrarySigns[Description]),""))</f>
        <v/>
      </c>
      <c r="S60" t="str">
        <f t="shared" si="3"/>
        <v/>
      </c>
      <c r="T60" t="str">
        <f>IF(B60="","",IFERROR(_xlfn.XLOOKUP(B60,TableLibrarySigns[Block],TableLibrarySigns[UnitTime]),""))</f>
        <v/>
      </c>
      <c r="U60" t="str">
        <f>IF(B60="","",IFERROR(_xlfn.XLOOKUP(B60,TableLibrarySigns[Block],TableLibrarySigns[UnitCost]),""))</f>
        <v/>
      </c>
      <c r="V60" t="str">
        <f t="shared" si="4"/>
        <v/>
      </c>
    </row>
    <row r="61" spans="1:22" ht="16.8" customHeight="1">
      <c r="A61" t="str">
        <f t="shared" si="2"/>
        <v/>
      </c>
      <c r="D61" s="2"/>
      <c r="E61" s="6" t="str">
        <f>IF(SignsTable[[#This Row],[PKValue]]="","",IF(D61="","",INT(D61/1000)&amp;"+"&amp;TEXT(MOD(D61,1000),"000.00")))</f>
        <v/>
      </c>
      <c r="J61" t="str">
        <f>IF(B61="","",IFERROR(_xlfn.XLOOKUP(B61,TableLibrarySigns[Block],TableLibrarySigns[Material]),""))</f>
        <v/>
      </c>
      <c r="K61" t="str">
        <f>IF(B61="","",IFERROR(_xlfn.XLOOKUP(B61,TableLibrarySigns[Block],TableLibrarySigns[RotationMode]),""))</f>
        <v/>
      </c>
      <c r="L61" t="str">
        <f>IF(B61="","",IFERROR(_xlfn.XLOOKUP(B61,TableLibrarySigns[Block],TableLibrarySigns[Layer]),""))</f>
        <v/>
      </c>
      <c r="M61" t="str">
        <f>IF(B61="","",IFERROR(_xlfn.XLOOKUP(B61,TableLibrarySigns[Block],TableLibrarySigns[DWGName]),""))</f>
        <v/>
      </c>
      <c r="N61" t="str">
        <f>IF(B61="","",IFERROR(_xlfn.XLOOKUP(B61,TableLibrarySigns[Block],TableLibrarySigns[SignCode]),""))</f>
        <v/>
      </c>
      <c r="O61" t="str">
        <f>IF(B61="","",IFERROR(_xlfn.XLOOKUP(B61,TableLibrarySigns[Block],TableLibrarySigns[IFCEntity]),""))</f>
        <v/>
      </c>
      <c r="P61" t="str">
        <f>IF(B61="","",IFERROR(_xlfn.XLOOKUP(B61,TableLibrarySigns[Block],TableLibrarySigns[Category]),""))</f>
        <v/>
      </c>
      <c r="Q61" t="str">
        <f>IF(B61="","",IFERROR(_xlfn.XLOOKUP(B61,TableLibrarySigns[Block],TableLibrarySigns[Normative]),""))</f>
        <v/>
      </c>
      <c r="R61" t="str">
        <f>IF(B61="","",IFERROR(_xlfn.XLOOKUP(B61,TableLibrarySigns[Block],TableLibrarySigns[Description]),""))</f>
        <v/>
      </c>
      <c r="S61" t="str">
        <f t="shared" si="3"/>
        <v/>
      </c>
      <c r="T61" t="str">
        <f>IF(B61="","",IFERROR(_xlfn.XLOOKUP(B61,TableLibrarySigns[Block],TableLibrarySigns[UnitTime]),""))</f>
        <v/>
      </c>
      <c r="U61" t="str">
        <f>IF(B61="","",IFERROR(_xlfn.XLOOKUP(B61,TableLibrarySigns[Block],TableLibrarySigns[UnitCost]),""))</f>
        <v/>
      </c>
      <c r="V61" t="str">
        <f t="shared" si="4"/>
        <v/>
      </c>
    </row>
    <row r="62" spans="1:22" ht="16.8" customHeight="1">
      <c r="A62" t="str">
        <f t="shared" si="2"/>
        <v/>
      </c>
      <c r="D62" s="2"/>
      <c r="E62" s="6" t="str">
        <f>IF(SignsTable[[#This Row],[PKValue]]="","",IF(D62="","",INT(D62/1000)&amp;"+"&amp;TEXT(MOD(D62,1000),"000.00")))</f>
        <v/>
      </c>
      <c r="J62" t="str">
        <f>IF(B62="","",IFERROR(_xlfn.XLOOKUP(B62,TableLibrarySigns[Block],TableLibrarySigns[Material]),""))</f>
        <v/>
      </c>
      <c r="K62" t="str">
        <f>IF(B62="","",IFERROR(_xlfn.XLOOKUP(B62,TableLibrarySigns[Block],TableLibrarySigns[RotationMode]),""))</f>
        <v/>
      </c>
      <c r="L62" t="str">
        <f>IF(B62="","",IFERROR(_xlfn.XLOOKUP(B62,TableLibrarySigns[Block],TableLibrarySigns[Layer]),""))</f>
        <v/>
      </c>
      <c r="M62" t="str">
        <f>IF(B62="","",IFERROR(_xlfn.XLOOKUP(B62,TableLibrarySigns[Block],TableLibrarySigns[DWGName]),""))</f>
        <v/>
      </c>
      <c r="N62" t="str">
        <f>IF(B62="","",IFERROR(_xlfn.XLOOKUP(B62,TableLibrarySigns[Block],TableLibrarySigns[SignCode]),""))</f>
        <v/>
      </c>
      <c r="O62" t="str">
        <f>IF(B62="","",IFERROR(_xlfn.XLOOKUP(B62,TableLibrarySigns[Block],TableLibrarySigns[IFCEntity]),""))</f>
        <v/>
      </c>
      <c r="P62" t="str">
        <f>IF(B62="","",IFERROR(_xlfn.XLOOKUP(B62,TableLibrarySigns[Block],TableLibrarySigns[Category]),""))</f>
        <v/>
      </c>
      <c r="Q62" t="str">
        <f>IF(B62="","",IFERROR(_xlfn.XLOOKUP(B62,TableLibrarySigns[Block],TableLibrarySigns[Normative]),""))</f>
        <v/>
      </c>
      <c r="R62" t="str">
        <f>IF(B62="","",IFERROR(_xlfn.XLOOKUP(B62,TableLibrarySigns[Block],TableLibrarySigns[Description]),""))</f>
        <v/>
      </c>
      <c r="S62" t="str">
        <f t="shared" si="3"/>
        <v/>
      </c>
      <c r="T62" t="str">
        <f>IF(B62="","",IFERROR(_xlfn.XLOOKUP(B62,TableLibrarySigns[Block],TableLibrarySigns[UnitTime]),""))</f>
        <v/>
      </c>
      <c r="U62" t="str">
        <f>IF(B62="","",IFERROR(_xlfn.XLOOKUP(B62,TableLibrarySigns[Block],TableLibrarySigns[UnitCost]),""))</f>
        <v/>
      </c>
      <c r="V62" t="str">
        <f t="shared" si="4"/>
        <v/>
      </c>
    </row>
    <row r="63" spans="1:22" ht="16.8" customHeight="1">
      <c r="A63" t="str">
        <f t="shared" si="2"/>
        <v/>
      </c>
      <c r="D63" s="2"/>
      <c r="E63" s="6" t="str">
        <f>IF(SignsTable[[#This Row],[PKValue]]="","",IF(D63="","",INT(D63/1000)&amp;"+"&amp;TEXT(MOD(D63,1000),"000.00")))</f>
        <v/>
      </c>
      <c r="J63" t="str">
        <f>IF(B63="","",IFERROR(_xlfn.XLOOKUP(B63,TableLibrarySigns[Block],TableLibrarySigns[Material]),""))</f>
        <v/>
      </c>
      <c r="K63" t="str">
        <f>IF(B63="","",IFERROR(_xlfn.XLOOKUP(B63,TableLibrarySigns[Block],TableLibrarySigns[RotationMode]),""))</f>
        <v/>
      </c>
      <c r="L63" t="str">
        <f>IF(B63="","",IFERROR(_xlfn.XLOOKUP(B63,TableLibrarySigns[Block],TableLibrarySigns[Layer]),""))</f>
        <v/>
      </c>
      <c r="M63" t="str">
        <f>IF(B63="","",IFERROR(_xlfn.XLOOKUP(B63,TableLibrarySigns[Block],TableLibrarySigns[DWGName]),""))</f>
        <v/>
      </c>
      <c r="N63" t="str">
        <f>IF(B63="","",IFERROR(_xlfn.XLOOKUP(B63,TableLibrarySigns[Block],TableLibrarySigns[SignCode]),""))</f>
        <v/>
      </c>
      <c r="O63" t="str">
        <f>IF(B63="","",IFERROR(_xlfn.XLOOKUP(B63,TableLibrarySigns[Block],TableLibrarySigns[IFCEntity]),""))</f>
        <v/>
      </c>
      <c r="P63" t="str">
        <f>IF(B63="","",IFERROR(_xlfn.XLOOKUP(B63,TableLibrarySigns[Block],TableLibrarySigns[Category]),""))</f>
        <v/>
      </c>
      <c r="Q63" t="str">
        <f>IF(B63="","",IFERROR(_xlfn.XLOOKUP(B63,TableLibrarySigns[Block],TableLibrarySigns[Normative]),""))</f>
        <v/>
      </c>
      <c r="R63" t="str">
        <f>IF(B63="","",IFERROR(_xlfn.XLOOKUP(B63,TableLibrarySigns[Block],TableLibrarySigns[Description]),""))</f>
        <v/>
      </c>
      <c r="S63" t="str">
        <f t="shared" si="3"/>
        <v/>
      </c>
      <c r="T63" t="str">
        <f>IF(B63="","",IFERROR(_xlfn.XLOOKUP(B63,TableLibrarySigns[Block],TableLibrarySigns[UnitTime]),""))</f>
        <v/>
      </c>
      <c r="U63" t="str">
        <f>IF(B63="","",IFERROR(_xlfn.XLOOKUP(B63,TableLibrarySigns[Block],TableLibrarySigns[UnitCost]),""))</f>
        <v/>
      </c>
      <c r="V63" t="str">
        <f t="shared" si="4"/>
        <v/>
      </c>
    </row>
    <row r="64" spans="1:22" ht="16.8" customHeight="1">
      <c r="A64" t="str">
        <f t="shared" si="2"/>
        <v/>
      </c>
      <c r="D64" s="2"/>
      <c r="E64" s="6" t="str">
        <f>IF(SignsTable[[#This Row],[PKValue]]="","",IF(D64="","",INT(D64/1000)&amp;"+"&amp;TEXT(MOD(D64,1000),"000.00")))</f>
        <v/>
      </c>
      <c r="J64" t="str">
        <f>IF(B64="","",IFERROR(_xlfn.XLOOKUP(B64,TableLibrarySigns[Block],TableLibrarySigns[Material]),""))</f>
        <v/>
      </c>
      <c r="K64" t="str">
        <f>IF(B64="","",IFERROR(_xlfn.XLOOKUP(B64,TableLibrarySigns[Block],TableLibrarySigns[RotationMode]),""))</f>
        <v/>
      </c>
      <c r="L64" t="str">
        <f>IF(B64="","",IFERROR(_xlfn.XLOOKUP(B64,TableLibrarySigns[Block],TableLibrarySigns[Layer]),""))</f>
        <v/>
      </c>
      <c r="M64" t="str">
        <f>IF(B64="","",IFERROR(_xlfn.XLOOKUP(B64,TableLibrarySigns[Block],TableLibrarySigns[DWGName]),""))</f>
        <v/>
      </c>
      <c r="N64" t="str">
        <f>IF(B64="","",IFERROR(_xlfn.XLOOKUP(B64,TableLibrarySigns[Block],TableLibrarySigns[SignCode]),""))</f>
        <v/>
      </c>
      <c r="O64" t="str">
        <f>IF(B64="","",IFERROR(_xlfn.XLOOKUP(B64,TableLibrarySigns[Block],TableLibrarySigns[IFCEntity]),""))</f>
        <v/>
      </c>
      <c r="P64" t="str">
        <f>IF(B64="","",IFERROR(_xlfn.XLOOKUP(B64,TableLibrarySigns[Block],TableLibrarySigns[Category]),""))</f>
        <v/>
      </c>
      <c r="Q64" t="str">
        <f>IF(B64="","",IFERROR(_xlfn.XLOOKUP(B64,TableLibrarySigns[Block],TableLibrarySigns[Normative]),""))</f>
        <v/>
      </c>
      <c r="R64" t="str">
        <f>IF(B64="","",IFERROR(_xlfn.XLOOKUP(B64,TableLibrarySigns[Block],TableLibrarySigns[Description]),""))</f>
        <v/>
      </c>
      <c r="S64" t="str">
        <f t="shared" si="3"/>
        <v/>
      </c>
      <c r="T64" t="str">
        <f>IF(B64="","",IFERROR(_xlfn.XLOOKUP(B64,TableLibrarySigns[Block],TableLibrarySigns[UnitTime]),""))</f>
        <v/>
      </c>
      <c r="U64" t="str">
        <f>IF(B64="","",IFERROR(_xlfn.XLOOKUP(B64,TableLibrarySigns[Block],TableLibrarySigns[UnitCost]),""))</f>
        <v/>
      </c>
      <c r="V64" t="str">
        <f t="shared" si="4"/>
        <v/>
      </c>
    </row>
    <row r="65" spans="1:22" ht="16.8" customHeight="1">
      <c r="A65" t="str">
        <f t="shared" si="2"/>
        <v/>
      </c>
      <c r="D65" s="2"/>
      <c r="E65" s="6" t="str">
        <f>IF(SignsTable[[#This Row],[PKValue]]="","",IF(D65="","",INT(D65/1000)&amp;"+"&amp;TEXT(MOD(D65,1000),"000.00")))</f>
        <v/>
      </c>
      <c r="J65" t="str">
        <f>IF(B65="","",IFERROR(_xlfn.XLOOKUP(B65,TableLibrarySigns[Block],TableLibrarySigns[Material]),""))</f>
        <v/>
      </c>
      <c r="K65" t="str">
        <f>IF(B65="","",IFERROR(_xlfn.XLOOKUP(B65,TableLibrarySigns[Block],TableLibrarySigns[RotationMode]),""))</f>
        <v/>
      </c>
      <c r="L65" t="str">
        <f>IF(B65="","",IFERROR(_xlfn.XLOOKUP(B65,TableLibrarySigns[Block],TableLibrarySigns[Layer]),""))</f>
        <v/>
      </c>
      <c r="M65" t="str">
        <f>IF(B65="","",IFERROR(_xlfn.XLOOKUP(B65,TableLibrarySigns[Block],TableLibrarySigns[DWGName]),""))</f>
        <v/>
      </c>
      <c r="N65" t="str">
        <f>IF(B65="","",IFERROR(_xlfn.XLOOKUP(B65,TableLibrarySigns[Block],TableLibrarySigns[SignCode]),""))</f>
        <v/>
      </c>
      <c r="O65" t="str">
        <f>IF(B65="","",IFERROR(_xlfn.XLOOKUP(B65,TableLibrarySigns[Block],TableLibrarySigns[IFCEntity]),""))</f>
        <v/>
      </c>
      <c r="P65" t="str">
        <f>IF(B65="","",IFERROR(_xlfn.XLOOKUP(B65,TableLibrarySigns[Block],TableLibrarySigns[Category]),""))</f>
        <v/>
      </c>
      <c r="Q65" t="str">
        <f>IF(B65="","",IFERROR(_xlfn.XLOOKUP(B65,TableLibrarySigns[Block],TableLibrarySigns[Normative]),""))</f>
        <v/>
      </c>
      <c r="R65" t="str">
        <f>IF(B65="","",IFERROR(_xlfn.XLOOKUP(B65,TableLibrarySigns[Block],TableLibrarySigns[Description]),""))</f>
        <v/>
      </c>
      <c r="S65" t="str">
        <f t="shared" si="3"/>
        <v/>
      </c>
      <c r="T65" t="str">
        <f>IF(B65="","",IFERROR(_xlfn.XLOOKUP(B65,TableLibrarySigns[Block],TableLibrarySigns[UnitTime]),""))</f>
        <v/>
      </c>
      <c r="U65" t="str">
        <f>IF(B65="","",IFERROR(_xlfn.XLOOKUP(B65,TableLibrarySigns[Block],TableLibrarySigns[UnitCost]),""))</f>
        <v/>
      </c>
      <c r="V65" t="str">
        <f t="shared" si="4"/>
        <v/>
      </c>
    </row>
    <row r="66" spans="1:22" ht="16.8" customHeight="1">
      <c r="A66" t="str">
        <f t="shared" si="2"/>
        <v/>
      </c>
      <c r="D66" s="2"/>
      <c r="E66" s="6" t="str">
        <f>IF(SignsTable[[#This Row],[PKValue]]="","",IF(D66="","",INT(D66/1000)&amp;"+"&amp;TEXT(MOD(D66,1000),"000.00")))</f>
        <v/>
      </c>
      <c r="J66" t="str">
        <f>IF(B66="","",IFERROR(_xlfn.XLOOKUP(B66,TableLibrarySigns[Block],TableLibrarySigns[Material]),""))</f>
        <v/>
      </c>
      <c r="K66" t="str">
        <f>IF(B66="","",IFERROR(_xlfn.XLOOKUP(B66,TableLibrarySigns[Block],TableLibrarySigns[RotationMode]),""))</f>
        <v/>
      </c>
      <c r="L66" t="str">
        <f>IF(B66="","",IFERROR(_xlfn.XLOOKUP(B66,TableLibrarySigns[Block],TableLibrarySigns[Layer]),""))</f>
        <v/>
      </c>
      <c r="M66" t="str">
        <f>IF(B66="","",IFERROR(_xlfn.XLOOKUP(B66,TableLibrarySigns[Block],TableLibrarySigns[DWGName]),""))</f>
        <v/>
      </c>
      <c r="N66" t="str">
        <f>IF(B66="","",IFERROR(_xlfn.XLOOKUP(B66,TableLibrarySigns[Block],TableLibrarySigns[SignCode]),""))</f>
        <v/>
      </c>
      <c r="O66" t="str">
        <f>IF(B66="","",IFERROR(_xlfn.XLOOKUP(B66,TableLibrarySigns[Block],TableLibrarySigns[IFCEntity]),""))</f>
        <v/>
      </c>
      <c r="P66" t="str">
        <f>IF(B66="","",IFERROR(_xlfn.XLOOKUP(B66,TableLibrarySigns[Block],TableLibrarySigns[Category]),""))</f>
        <v/>
      </c>
      <c r="Q66" t="str">
        <f>IF(B66="","",IFERROR(_xlfn.XLOOKUP(B66,TableLibrarySigns[Block],TableLibrarySigns[Normative]),""))</f>
        <v/>
      </c>
      <c r="R66" t="str">
        <f>IF(B66="","",IFERROR(_xlfn.XLOOKUP(B66,TableLibrarySigns[Block],TableLibrarySigns[Description]),""))</f>
        <v/>
      </c>
      <c r="S66" t="str">
        <f t="shared" ref="S66:S97" si="5">IF(B66="","",1)</f>
        <v/>
      </c>
      <c r="T66" t="str">
        <f>IF(B66="","",IFERROR(_xlfn.XLOOKUP(B66,TableLibrarySigns[Block],TableLibrarySigns[UnitTime]),""))</f>
        <v/>
      </c>
      <c r="U66" t="str">
        <f>IF(B66="","",IFERROR(_xlfn.XLOOKUP(B66,TableLibrarySigns[Block],TableLibrarySigns[UnitCost]),""))</f>
        <v/>
      </c>
      <c r="V66" t="str">
        <f t="shared" ref="V66:V97" si="6">IF(B66="","",S66*U66)</f>
        <v/>
      </c>
    </row>
    <row r="67" spans="1:22" ht="16.8" customHeight="1">
      <c r="A67" t="str">
        <f t="shared" ref="A67:A130" si="7">IF(B67="","","S"&amp;TEXT(ROW()-1,"000"))</f>
        <v/>
      </c>
      <c r="D67" s="2"/>
      <c r="E67" s="6" t="str">
        <f>IF(SignsTable[[#This Row],[PKValue]]="","",IF(D67="","",INT(D67/1000)&amp;"+"&amp;TEXT(MOD(D67,1000),"000.00")))</f>
        <v/>
      </c>
      <c r="J67" t="str">
        <f>IF(B67="","",IFERROR(_xlfn.XLOOKUP(B67,TableLibrarySigns[Block],TableLibrarySigns[Material]),""))</f>
        <v/>
      </c>
      <c r="K67" t="str">
        <f>IF(B67="","",IFERROR(_xlfn.XLOOKUP(B67,TableLibrarySigns[Block],TableLibrarySigns[RotationMode]),""))</f>
        <v/>
      </c>
      <c r="L67" t="str">
        <f>IF(B67="","",IFERROR(_xlfn.XLOOKUP(B67,TableLibrarySigns[Block],TableLibrarySigns[Layer]),""))</f>
        <v/>
      </c>
      <c r="M67" t="str">
        <f>IF(B67="","",IFERROR(_xlfn.XLOOKUP(B67,TableLibrarySigns[Block],TableLibrarySigns[DWGName]),""))</f>
        <v/>
      </c>
      <c r="N67" t="str">
        <f>IF(B67="","",IFERROR(_xlfn.XLOOKUP(B67,TableLibrarySigns[Block],TableLibrarySigns[SignCode]),""))</f>
        <v/>
      </c>
      <c r="O67" t="str">
        <f>IF(B67="","",IFERROR(_xlfn.XLOOKUP(B67,TableLibrarySigns[Block],TableLibrarySigns[IFCEntity]),""))</f>
        <v/>
      </c>
      <c r="P67" t="str">
        <f>IF(B67="","",IFERROR(_xlfn.XLOOKUP(B67,TableLibrarySigns[Block],TableLibrarySigns[Category]),""))</f>
        <v/>
      </c>
      <c r="Q67" t="str">
        <f>IF(B67="","",IFERROR(_xlfn.XLOOKUP(B67,TableLibrarySigns[Block],TableLibrarySigns[Normative]),""))</f>
        <v/>
      </c>
      <c r="R67" t="str">
        <f>IF(B67="","",IFERROR(_xlfn.XLOOKUP(B67,TableLibrarySigns[Block],TableLibrarySigns[Description]),""))</f>
        <v/>
      </c>
      <c r="S67" t="str">
        <f t="shared" si="5"/>
        <v/>
      </c>
      <c r="T67" t="str">
        <f>IF(B67="","",IFERROR(_xlfn.XLOOKUP(B67,TableLibrarySigns[Block],TableLibrarySigns[UnitTime]),""))</f>
        <v/>
      </c>
      <c r="U67" t="str">
        <f>IF(B67="","",IFERROR(_xlfn.XLOOKUP(B67,TableLibrarySigns[Block],TableLibrarySigns[UnitCost]),""))</f>
        <v/>
      </c>
      <c r="V67" t="str">
        <f t="shared" si="6"/>
        <v/>
      </c>
    </row>
    <row r="68" spans="1:22" ht="16.8" customHeight="1">
      <c r="A68" t="str">
        <f t="shared" si="7"/>
        <v/>
      </c>
      <c r="D68" s="2"/>
      <c r="E68" s="6" t="str">
        <f>IF(SignsTable[[#This Row],[PKValue]]="","",IF(D68="","",INT(D68/1000)&amp;"+"&amp;TEXT(MOD(D68,1000),"000.00")))</f>
        <v/>
      </c>
      <c r="J68" t="str">
        <f>IF(B68="","",IFERROR(_xlfn.XLOOKUP(B68,TableLibrarySigns[Block],TableLibrarySigns[Material]),""))</f>
        <v/>
      </c>
      <c r="K68" t="str">
        <f>IF(B68="","",IFERROR(_xlfn.XLOOKUP(B68,TableLibrarySigns[Block],TableLibrarySigns[RotationMode]),""))</f>
        <v/>
      </c>
      <c r="L68" t="str">
        <f>IF(B68="","",IFERROR(_xlfn.XLOOKUP(B68,TableLibrarySigns[Block],TableLibrarySigns[Layer]),""))</f>
        <v/>
      </c>
      <c r="M68" t="str">
        <f>IF(B68="","",IFERROR(_xlfn.XLOOKUP(B68,TableLibrarySigns[Block],TableLibrarySigns[DWGName]),""))</f>
        <v/>
      </c>
      <c r="N68" t="str">
        <f>IF(B68="","",IFERROR(_xlfn.XLOOKUP(B68,TableLibrarySigns[Block],TableLibrarySigns[SignCode]),""))</f>
        <v/>
      </c>
      <c r="O68" t="str">
        <f>IF(B68="","",IFERROR(_xlfn.XLOOKUP(B68,TableLibrarySigns[Block],TableLibrarySigns[IFCEntity]),""))</f>
        <v/>
      </c>
      <c r="P68" t="str">
        <f>IF(B68="","",IFERROR(_xlfn.XLOOKUP(B68,TableLibrarySigns[Block],TableLibrarySigns[Category]),""))</f>
        <v/>
      </c>
      <c r="Q68" t="str">
        <f>IF(B68="","",IFERROR(_xlfn.XLOOKUP(B68,TableLibrarySigns[Block],TableLibrarySigns[Normative]),""))</f>
        <v/>
      </c>
      <c r="R68" t="str">
        <f>IF(B68="","",IFERROR(_xlfn.XLOOKUP(B68,TableLibrarySigns[Block],TableLibrarySigns[Description]),""))</f>
        <v/>
      </c>
      <c r="S68" t="str">
        <f t="shared" si="5"/>
        <v/>
      </c>
      <c r="T68" t="str">
        <f>IF(B68="","",IFERROR(_xlfn.XLOOKUP(B68,TableLibrarySigns[Block],TableLibrarySigns[UnitTime]),""))</f>
        <v/>
      </c>
      <c r="U68" t="str">
        <f>IF(B68="","",IFERROR(_xlfn.XLOOKUP(B68,TableLibrarySigns[Block],TableLibrarySigns[UnitCost]),""))</f>
        <v/>
      </c>
      <c r="V68" t="str">
        <f t="shared" si="6"/>
        <v/>
      </c>
    </row>
    <row r="69" spans="1:22" ht="16.8" customHeight="1">
      <c r="A69" t="str">
        <f t="shared" si="7"/>
        <v/>
      </c>
      <c r="D69" s="2"/>
      <c r="E69" s="6" t="str">
        <f>IF(SignsTable[[#This Row],[PKValue]]="","",IF(D69="","",INT(D69/1000)&amp;"+"&amp;TEXT(MOD(D69,1000),"000.00")))</f>
        <v/>
      </c>
      <c r="J69" t="str">
        <f>IF(B69="","",IFERROR(_xlfn.XLOOKUP(B69,TableLibrarySigns[Block],TableLibrarySigns[Material]),""))</f>
        <v/>
      </c>
      <c r="K69" t="str">
        <f>IF(B69="","",IFERROR(_xlfn.XLOOKUP(B69,TableLibrarySigns[Block],TableLibrarySigns[RotationMode]),""))</f>
        <v/>
      </c>
      <c r="L69" t="str">
        <f>IF(B69="","",IFERROR(_xlfn.XLOOKUP(B69,TableLibrarySigns[Block],TableLibrarySigns[Layer]),""))</f>
        <v/>
      </c>
      <c r="M69" t="str">
        <f>IF(B69="","",IFERROR(_xlfn.XLOOKUP(B69,TableLibrarySigns[Block],TableLibrarySigns[DWGName]),""))</f>
        <v/>
      </c>
      <c r="N69" t="str">
        <f>IF(B69="","",IFERROR(_xlfn.XLOOKUP(B69,TableLibrarySigns[Block],TableLibrarySigns[SignCode]),""))</f>
        <v/>
      </c>
      <c r="O69" t="str">
        <f>IF(B69="","",IFERROR(_xlfn.XLOOKUP(B69,TableLibrarySigns[Block],TableLibrarySigns[IFCEntity]),""))</f>
        <v/>
      </c>
      <c r="P69" t="str">
        <f>IF(B69="","",IFERROR(_xlfn.XLOOKUP(B69,TableLibrarySigns[Block],TableLibrarySigns[Category]),""))</f>
        <v/>
      </c>
      <c r="Q69" t="str">
        <f>IF(B69="","",IFERROR(_xlfn.XLOOKUP(B69,TableLibrarySigns[Block],TableLibrarySigns[Normative]),""))</f>
        <v/>
      </c>
      <c r="R69" t="str">
        <f>IF(B69="","",IFERROR(_xlfn.XLOOKUP(B69,TableLibrarySigns[Block],TableLibrarySigns[Description]),""))</f>
        <v/>
      </c>
      <c r="S69" t="str">
        <f t="shared" si="5"/>
        <v/>
      </c>
      <c r="T69" t="str">
        <f>IF(B69="","",IFERROR(_xlfn.XLOOKUP(B69,TableLibrarySigns[Block],TableLibrarySigns[UnitTime]),""))</f>
        <v/>
      </c>
      <c r="U69" t="str">
        <f>IF(B69="","",IFERROR(_xlfn.XLOOKUP(B69,TableLibrarySigns[Block],TableLibrarySigns[UnitCost]),""))</f>
        <v/>
      </c>
      <c r="V69" t="str">
        <f t="shared" si="6"/>
        <v/>
      </c>
    </row>
    <row r="70" spans="1:22" ht="16.8" customHeight="1">
      <c r="A70" t="str">
        <f t="shared" si="7"/>
        <v/>
      </c>
      <c r="D70" s="2"/>
      <c r="E70" s="6" t="str">
        <f>IF(SignsTable[[#This Row],[PKValue]]="","",IF(D70="","",INT(D70/1000)&amp;"+"&amp;TEXT(MOD(D70,1000),"000.00")))</f>
        <v/>
      </c>
      <c r="J70" t="str">
        <f>IF(B70="","",IFERROR(_xlfn.XLOOKUP(B70,TableLibrarySigns[Block],TableLibrarySigns[Material]),""))</f>
        <v/>
      </c>
      <c r="K70" t="str">
        <f>IF(B70="","",IFERROR(_xlfn.XLOOKUP(B70,TableLibrarySigns[Block],TableLibrarySigns[RotationMode]),""))</f>
        <v/>
      </c>
      <c r="L70" t="str">
        <f>IF(B70="","",IFERROR(_xlfn.XLOOKUP(B70,TableLibrarySigns[Block],TableLibrarySigns[Layer]),""))</f>
        <v/>
      </c>
      <c r="M70" t="str">
        <f>IF(B70="","",IFERROR(_xlfn.XLOOKUP(B70,TableLibrarySigns[Block],TableLibrarySigns[DWGName]),""))</f>
        <v/>
      </c>
      <c r="N70" t="str">
        <f>IF(B70="","",IFERROR(_xlfn.XLOOKUP(B70,TableLibrarySigns[Block],TableLibrarySigns[SignCode]),""))</f>
        <v/>
      </c>
      <c r="O70" t="str">
        <f>IF(B70="","",IFERROR(_xlfn.XLOOKUP(B70,TableLibrarySigns[Block],TableLibrarySigns[IFCEntity]),""))</f>
        <v/>
      </c>
      <c r="P70" t="str">
        <f>IF(B70="","",IFERROR(_xlfn.XLOOKUP(B70,TableLibrarySigns[Block],TableLibrarySigns[Category]),""))</f>
        <v/>
      </c>
      <c r="Q70" t="str">
        <f>IF(B70="","",IFERROR(_xlfn.XLOOKUP(B70,TableLibrarySigns[Block],TableLibrarySigns[Normative]),""))</f>
        <v/>
      </c>
      <c r="R70" t="str">
        <f>IF(B70="","",IFERROR(_xlfn.XLOOKUP(B70,TableLibrarySigns[Block],TableLibrarySigns[Description]),""))</f>
        <v/>
      </c>
      <c r="S70" t="str">
        <f t="shared" si="5"/>
        <v/>
      </c>
      <c r="T70" t="str">
        <f>IF(B70="","",IFERROR(_xlfn.XLOOKUP(B70,TableLibrarySigns[Block],TableLibrarySigns[UnitTime]),""))</f>
        <v/>
      </c>
      <c r="U70" t="str">
        <f>IF(B70="","",IFERROR(_xlfn.XLOOKUP(B70,TableLibrarySigns[Block],TableLibrarySigns[UnitCost]),""))</f>
        <v/>
      </c>
      <c r="V70" t="str">
        <f t="shared" si="6"/>
        <v/>
      </c>
    </row>
    <row r="71" spans="1:22" ht="16.8" customHeight="1">
      <c r="A71" t="str">
        <f t="shared" si="7"/>
        <v/>
      </c>
      <c r="D71" s="2"/>
      <c r="E71" s="6" t="str">
        <f>IF(SignsTable[[#This Row],[PKValue]]="","",IF(D71="","",INT(D71/1000)&amp;"+"&amp;TEXT(MOD(D71,1000),"000.00")))</f>
        <v/>
      </c>
      <c r="J71" t="str">
        <f>IF(B71="","",IFERROR(_xlfn.XLOOKUP(B71,TableLibrarySigns[Block],TableLibrarySigns[Material]),""))</f>
        <v/>
      </c>
      <c r="K71" t="str">
        <f>IF(B71="","",IFERROR(_xlfn.XLOOKUP(B71,TableLibrarySigns[Block],TableLibrarySigns[RotationMode]),""))</f>
        <v/>
      </c>
      <c r="L71" t="str">
        <f>IF(B71="","",IFERROR(_xlfn.XLOOKUP(B71,TableLibrarySigns[Block],TableLibrarySigns[Layer]),""))</f>
        <v/>
      </c>
      <c r="M71" t="str">
        <f>IF(B71="","",IFERROR(_xlfn.XLOOKUP(B71,TableLibrarySigns[Block],TableLibrarySigns[DWGName]),""))</f>
        <v/>
      </c>
      <c r="N71" t="str">
        <f>IF(B71="","",IFERROR(_xlfn.XLOOKUP(B71,TableLibrarySigns[Block],TableLibrarySigns[SignCode]),""))</f>
        <v/>
      </c>
      <c r="O71" t="str">
        <f>IF(B71="","",IFERROR(_xlfn.XLOOKUP(B71,TableLibrarySigns[Block],TableLibrarySigns[IFCEntity]),""))</f>
        <v/>
      </c>
      <c r="P71" t="str">
        <f>IF(B71="","",IFERROR(_xlfn.XLOOKUP(B71,TableLibrarySigns[Block],TableLibrarySigns[Category]),""))</f>
        <v/>
      </c>
      <c r="Q71" t="str">
        <f>IF(B71="","",IFERROR(_xlfn.XLOOKUP(B71,TableLibrarySigns[Block],TableLibrarySigns[Normative]),""))</f>
        <v/>
      </c>
      <c r="R71" t="str">
        <f>IF(B71="","",IFERROR(_xlfn.XLOOKUP(B71,TableLibrarySigns[Block],TableLibrarySigns[Description]),""))</f>
        <v/>
      </c>
      <c r="S71" t="str">
        <f t="shared" si="5"/>
        <v/>
      </c>
      <c r="T71" t="str">
        <f>IF(B71="","",IFERROR(_xlfn.XLOOKUP(B71,TableLibrarySigns[Block],TableLibrarySigns[UnitTime]),""))</f>
        <v/>
      </c>
      <c r="U71" t="str">
        <f>IF(B71="","",IFERROR(_xlfn.XLOOKUP(B71,TableLibrarySigns[Block],TableLibrarySigns[UnitCost]),""))</f>
        <v/>
      </c>
      <c r="V71" t="str">
        <f t="shared" si="6"/>
        <v/>
      </c>
    </row>
    <row r="72" spans="1:22" ht="16.8" customHeight="1">
      <c r="A72" t="str">
        <f t="shared" si="7"/>
        <v/>
      </c>
      <c r="D72" s="2"/>
      <c r="E72" s="6" t="str">
        <f>IF(SignsTable[[#This Row],[PKValue]]="","",IF(D72="","",INT(D72/1000)&amp;"+"&amp;TEXT(MOD(D72,1000),"000.00")))</f>
        <v/>
      </c>
      <c r="J72" t="str">
        <f>IF(B72="","",IFERROR(_xlfn.XLOOKUP(B72,TableLibrarySigns[Block],TableLibrarySigns[Material]),""))</f>
        <v/>
      </c>
      <c r="K72" t="str">
        <f>IF(B72="","",IFERROR(_xlfn.XLOOKUP(B72,TableLibrarySigns[Block],TableLibrarySigns[RotationMode]),""))</f>
        <v/>
      </c>
      <c r="L72" t="str">
        <f>IF(B72="","",IFERROR(_xlfn.XLOOKUP(B72,TableLibrarySigns[Block],TableLibrarySigns[Layer]),""))</f>
        <v/>
      </c>
      <c r="M72" t="str">
        <f>IF(B72="","",IFERROR(_xlfn.XLOOKUP(B72,TableLibrarySigns[Block],TableLibrarySigns[DWGName]),""))</f>
        <v/>
      </c>
      <c r="N72" t="str">
        <f>IF(B72="","",IFERROR(_xlfn.XLOOKUP(B72,TableLibrarySigns[Block],TableLibrarySigns[SignCode]),""))</f>
        <v/>
      </c>
      <c r="O72" t="str">
        <f>IF(B72="","",IFERROR(_xlfn.XLOOKUP(B72,TableLibrarySigns[Block],TableLibrarySigns[IFCEntity]),""))</f>
        <v/>
      </c>
      <c r="P72" t="str">
        <f>IF(B72="","",IFERROR(_xlfn.XLOOKUP(B72,TableLibrarySigns[Block],TableLibrarySigns[Category]),""))</f>
        <v/>
      </c>
      <c r="Q72" t="str">
        <f>IF(B72="","",IFERROR(_xlfn.XLOOKUP(B72,TableLibrarySigns[Block],TableLibrarySigns[Normative]),""))</f>
        <v/>
      </c>
      <c r="R72" t="str">
        <f>IF(B72="","",IFERROR(_xlfn.XLOOKUP(B72,TableLibrarySigns[Block],TableLibrarySigns[Description]),""))</f>
        <v/>
      </c>
      <c r="S72" t="str">
        <f t="shared" si="5"/>
        <v/>
      </c>
      <c r="T72" t="str">
        <f>IF(B72="","",IFERROR(_xlfn.XLOOKUP(B72,TableLibrarySigns[Block],TableLibrarySigns[UnitTime]),""))</f>
        <v/>
      </c>
      <c r="U72" t="str">
        <f>IF(B72="","",IFERROR(_xlfn.XLOOKUP(B72,TableLibrarySigns[Block],TableLibrarySigns[UnitCost]),""))</f>
        <v/>
      </c>
      <c r="V72" t="str">
        <f t="shared" si="6"/>
        <v/>
      </c>
    </row>
    <row r="73" spans="1:22" ht="16.8" customHeight="1">
      <c r="A73" t="str">
        <f t="shared" si="7"/>
        <v/>
      </c>
      <c r="D73" s="2"/>
      <c r="E73" s="6" t="str">
        <f>IF(SignsTable[[#This Row],[PKValue]]="","",IF(D73="","",INT(D73/1000)&amp;"+"&amp;TEXT(MOD(D73,1000),"000.00")))</f>
        <v/>
      </c>
      <c r="J73" t="str">
        <f>IF(B73="","",IFERROR(_xlfn.XLOOKUP(B73,TableLibrarySigns[Block],TableLibrarySigns[Material]),""))</f>
        <v/>
      </c>
      <c r="K73" t="str">
        <f>IF(B73="","",IFERROR(_xlfn.XLOOKUP(B73,TableLibrarySigns[Block],TableLibrarySigns[RotationMode]),""))</f>
        <v/>
      </c>
      <c r="L73" t="str">
        <f>IF(B73="","",IFERROR(_xlfn.XLOOKUP(B73,TableLibrarySigns[Block],TableLibrarySigns[Layer]),""))</f>
        <v/>
      </c>
      <c r="M73" t="str">
        <f>IF(B73="","",IFERROR(_xlfn.XLOOKUP(B73,TableLibrarySigns[Block],TableLibrarySigns[DWGName]),""))</f>
        <v/>
      </c>
      <c r="N73" t="str">
        <f>IF(B73="","",IFERROR(_xlfn.XLOOKUP(B73,TableLibrarySigns[Block],TableLibrarySigns[SignCode]),""))</f>
        <v/>
      </c>
      <c r="O73" t="str">
        <f>IF(B73="","",IFERROR(_xlfn.XLOOKUP(B73,TableLibrarySigns[Block],TableLibrarySigns[IFCEntity]),""))</f>
        <v/>
      </c>
      <c r="P73" t="str">
        <f>IF(B73="","",IFERROR(_xlfn.XLOOKUP(B73,TableLibrarySigns[Block],TableLibrarySigns[Category]),""))</f>
        <v/>
      </c>
      <c r="Q73" t="str">
        <f>IF(B73="","",IFERROR(_xlfn.XLOOKUP(B73,TableLibrarySigns[Block],TableLibrarySigns[Normative]),""))</f>
        <v/>
      </c>
      <c r="R73" t="str">
        <f>IF(B73="","",IFERROR(_xlfn.XLOOKUP(B73,TableLibrarySigns[Block],TableLibrarySigns[Description]),""))</f>
        <v/>
      </c>
      <c r="S73" t="str">
        <f t="shared" si="5"/>
        <v/>
      </c>
      <c r="T73" t="str">
        <f>IF(B73="","",IFERROR(_xlfn.XLOOKUP(B73,TableLibrarySigns[Block],TableLibrarySigns[UnitTime]),""))</f>
        <v/>
      </c>
      <c r="U73" t="str">
        <f>IF(B73="","",IFERROR(_xlfn.XLOOKUP(B73,TableLibrarySigns[Block],TableLibrarySigns[UnitCost]),""))</f>
        <v/>
      </c>
      <c r="V73" t="str">
        <f t="shared" si="6"/>
        <v/>
      </c>
    </row>
    <row r="74" spans="1:22" ht="16.8" customHeight="1">
      <c r="A74" t="str">
        <f t="shared" si="7"/>
        <v/>
      </c>
      <c r="D74" s="2"/>
      <c r="E74" s="6" t="str">
        <f>IF(SignsTable[[#This Row],[PKValue]]="","",IF(D74="","",INT(D74/1000)&amp;"+"&amp;TEXT(MOD(D74,1000),"000.00")))</f>
        <v/>
      </c>
      <c r="J74" t="str">
        <f>IF(B74="","",IFERROR(_xlfn.XLOOKUP(B74,TableLibrarySigns[Block],TableLibrarySigns[Material]),""))</f>
        <v/>
      </c>
      <c r="K74" t="str">
        <f>IF(B74="","",IFERROR(_xlfn.XLOOKUP(B74,TableLibrarySigns[Block],TableLibrarySigns[RotationMode]),""))</f>
        <v/>
      </c>
      <c r="L74" t="str">
        <f>IF(B74="","",IFERROR(_xlfn.XLOOKUP(B74,TableLibrarySigns[Block],TableLibrarySigns[Layer]),""))</f>
        <v/>
      </c>
      <c r="M74" t="str">
        <f>IF(B74="","",IFERROR(_xlfn.XLOOKUP(B74,TableLibrarySigns[Block],TableLibrarySigns[DWGName]),""))</f>
        <v/>
      </c>
      <c r="N74" t="str">
        <f>IF(B74="","",IFERROR(_xlfn.XLOOKUP(B74,TableLibrarySigns[Block],TableLibrarySigns[SignCode]),""))</f>
        <v/>
      </c>
      <c r="O74" t="str">
        <f>IF(B74="","",IFERROR(_xlfn.XLOOKUP(B74,TableLibrarySigns[Block],TableLibrarySigns[IFCEntity]),""))</f>
        <v/>
      </c>
      <c r="P74" t="str">
        <f>IF(B74="","",IFERROR(_xlfn.XLOOKUP(B74,TableLibrarySigns[Block],TableLibrarySigns[Category]),""))</f>
        <v/>
      </c>
      <c r="Q74" t="str">
        <f>IF(B74="","",IFERROR(_xlfn.XLOOKUP(B74,TableLibrarySigns[Block],TableLibrarySigns[Normative]),""))</f>
        <v/>
      </c>
      <c r="R74" t="str">
        <f>IF(B74="","",IFERROR(_xlfn.XLOOKUP(B74,TableLibrarySigns[Block],TableLibrarySigns[Description]),""))</f>
        <v/>
      </c>
      <c r="S74" t="str">
        <f t="shared" si="5"/>
        <v/>
      </c>
      <c r="T74" t="str">
        <f>IF(B74="","",IFERROR(_xlfn.XLOOKUP(B74,TableLibrarySigns[Block],TableLibrarySigns[UnitTime]),""))</f>
        <v/>
      </c>
      <c r="U74" t="str">
        <f>IF(B74="","",IFERROR(_xlfn.XLOOKUP(B74,TableLibrarySigns[Block],TableLibrarySigns[UnitCost]),""))</f>
        <v/>
      </c>
      <c r="V74" t="str">
        <f t="shared" si="6"/>
        <v/>
      </c>
    </row>
    <row r="75" spans="1:22" ht="16.8" customHeight="1">
      <c r="A75" t="str">
        <f t="shared" si="7"/>
        <v/>
      </c>
      <c r="D75" s="2"/>
      <c r="E75" s="6" t="str">
        <f>IF(SignsTable[[#This Row],[PKValue]]="","",IF(D75="","",INT(D75/1000)&amp;"+"&amp;TEXT(MOD(D75,1000),"000.00")))</f>
        <v/>
      </c>
      <c r="J75" t="str">
        <f>IF(B75="","",IFERROR(_xlfn.XLOOKUP(B75,TableLibrarySigns[Block],TableLibrarySigns[Material]),""))</f>
        <v/>
      </c>
      <c r="K75" t="str">
        <f>IF(B75="","",IFERROR(_xlfn.XLOOKUP(B75,TableLibrarySigns[Block],TableLibrarySigns[RotationMode]),""))</f>
        <v/>
      </c>
      <c r="L75" t="str">
        <f>IF(B75="","",IFERROR(_xlfn.XLOOKUP(B75,TableLibrarySigns[Block],TableLibrarySigns[Layer]),""))</f>
        <v/>
      </c>
      <c r="M75" t="str">
        <f>IF(B75="","",IFERROR(_xlfn.XLOOKUP(B75,TableLibrarySigns[Block],TableLibrarySigns[DWGName]),""))</f>
        <v/>
      </c>
      <c r="N75" t="str">
        <f>IF(B75="","",IFERROR(_xlfn.XLOOKUP(B75,TableLibrarySigns[Block],TableLibrarySigns[SignCode]),""))</f>
        <v/>
      </c>
      <c r="O75" t="str">
        <f>IF(B75="","",IFERROR(_xlfn.XLOOKUP(B75,TableLibrarySigns[Block],TableLibrarySigns[IFCEntity]),""))</f>
        <v/>
      </c>
      <c r="P75" t="str">
        <f>IF(B75="","",IFERROR(_xlfn.XLOOKUP(B75,TableLibrarySigns[Block],TableLibrarySigns[Category]),""))</f>
        <v/>
      </c>
      <c r="Q75" t="str">
        <f>IF(B75="","",IFERROR(_xlfn.XLOOKUP(B75,TableLibrarySigns[Block],TableLibrarySigns[Normative]),""))</f>
        <v/>
      </c>
      <c r="R75" t="str">
        <f>IF(B75="","",IFERROR(_xlfn.XLOOKUP(B75,TableLibrarySigns[Block],TableLibrarySigns[Description]),""))</f>
        <v/>
      </c>
      <c r="S75" t="str">
        <f t="shared" si="5"/>
        <v/>
      </c>
      <c r="T75" t="str">
        <f>IF(B75="","",IFERROR(_xlfn.XLOOKUP(B75,TableLibrarySigns[Block],TableLibrarySigns[UnitTime]),""))</f>
        <v/>
      </c>
      <c r="U75" t="str">
        <f>IF(B75="","",IFERROR(_xlfn.XLOOKUP(B75,TableLibrarySigns[Block],TableLibrarySigns[UnitCost]),""))</f>
        <v/>
      </c>
      <c r="V75" t="str">
        <f t="shared" si="6"/>
        <v/>
      </c>
    </row>
    <row r="76" spans="1:22" ht="16.8" customHeight="1">
      <c r="A76" t="str">
        <f t="shared" si="7"/>
        <v/>
      </c>
      <c r="D76" s="2"/>
      <c r="E76" s="6" t="str">
        <f>IF(SignsTable[[#This Row],[PKValue]]="","",IF(D76="","",INT(D76/1000)&amp;"+"&amp;TEXT(MOD(D76,1000),"000.00")))</f>
        <v/>
      </c>
      <c r="J76" t="str">
        <f>IF(B76="","",IFERROR(_xlfn.XLOOKUP(B76,TableLibrarySigns[Block],TableLibrarySigns[Material]),""))</f>
        <v/>
      </c>
      <c r="K76" t="str">
        <f>IF(B76="","",IFERROR(_xlfn.XLOOKUP(B76,TableLibrarySigns[Block],TableLibrarySigns[RotationMode]),""))</f>
        <v/>
      </c>
      <c r="L76" t="str">
        <f>IF(B76="","",IFERROR(_xlfn.XLOOKUP(B76,TableLibrarySigns[Block],TableLibrarySigns[Layer]),""))</f>
        <v/>
      </c>
      <c r="M76" t="str">
        <f>IF(B76="","",IFERROR(_xlfn.XLOOKUP(B76,TableLibrarySigns[Block],TableLibrarySigns[DWGName]),""))</f>
        <v/>
      </c>
      <c r="N76" t="str">
        <f>IF(B76="","",IFERROR(_xlfn.XLOOKUP(B76,TableLibrarySigns[Block],TableLibrarySigns[SignCode]),""))</f>
        <v/>
      </c>
      <c r="O76" t="str">
        <f>IF(B76="","",IFERROR(_xlfn.XLOOKUP(B76,TableLibrarySigns[Block],TableLibrarySigns[IFCEntity]),""))</f>
        <v/>
      </c>
      <c r="P76" t="str">
        <f>IF(B76="","",IFERROR(_xlfn.XLOOKUP(B76,TableLibrarySigns[Block],TableLibrarySigns[Category]),""))</f>
        <v/>
      </c>
      <c r="Q76" t="str">
        <f>IF(B76="","",IFERROR(_xlfn.XLOOKUP(B76,TableLibrarySigns[Block],TableLibrarySigns[Normative]),""))</f>
        <v/>
      </c>
      <c r="R76" t="str">
        <f>IF(B76="","",IFERROR(_xlfn.XLOOKUP(B76,TableLibrarySigns[Block],TableLibrarySigns[Description]),""))</f>
        <v/>
      </c>
      <c r="S76" t="str">
        <f t="shared" si="5"/>
        <v/>
      </c>
      <c r="T76" t="str">
        <f>IF(B76="","",IFERROR(_xlfn.XLOOKUP(B76,TableLibrarySigns[Block],TableLibrarySigns[UnitTime]),""))</f>
        <v/>
      </c>
      <c r="U76" t="str">
        <f>IF(B76="","",IFERROR(_xlfn.XLOOKUP(B76,TableLibrarySigns[Block],TableLibrarySigns[UnitCost]),""))</f>
        <v/>
      </c>
      <c r="V76" t="str">
        <f t="shared" si="6"/>
        <v/>
      </c>
    </row>
    <row r="77" spans="1:22" ht="16.8" customHeight="1">
      <c r="A77" t="str">
        <f t="shared" si="7"/>
        <v/>
      </c>
      <c r="D77" s="2"/>
      <c r="E77" s="6" t="str">
        <f>IF(SignsTable[[#This Row],[PKValue]]="","",IF(D77="","",INT(D77/1000)&amp;"+"&amp;TEXT(MOD(D77,1000),"000.00")))</f>
        <v/>
      </c>
      <c r="J77" t="str">
        <f>IF(B77="","",IFERROR(_xlfn.XLOOKUP(B77,TableLibrarySigns[Block],TableLibrarySigns[Material]),""))</f>
        <v/>
      </c>
      <c r="K77" t="str">
        <f>IF(B77="","",IFERROR(_xlfn.XLOOKUP(B77,TableLibrarySigns[Block],TableLibrarySigns[RotationMode]),""))</f>
        <v/>
      </c>
      <c r="L77" t="str">
        <f>IF(B77="","",IFERROR(_xlfn.XLOOKUP(B77,TableLibrarySigns[Block],TableLibrarySigns[Layer]),""))</f>
        <v/>
      </c>
      <c r="M77" t="str">
        <f>IF(B77="","",IFERROR(_xlfn.XLOOKUP(B77,TableLibrarySigns[Block],TableLibrarySigns[DWGName]),""))</f>
        <v/>
      </c>
      <c r="N77" t="str">
        <f>IF(B77="","",IFERROR(_xlfn.XLOOKUP(B77,TableLibrarySigns[Block],TableLibrarySigns[SignCode]),""))</f>
        <v/>
      </c>
      <c r="O77" t="str">
        <f>IF(B77="","",IFERROR(_xlfn.XLOOKUP(B77,TableLibrarySigns[Block],TableLibrarySigns[IFCEntity]),""))</f>
        <v/>
      </c>
      <c r="P77" t="str">
        <f>IF(B77="","",IFERROR(_xlfn.XLOOKUP(B77,TableLibrarySigns[Block],TableLibrarySigns[Category]),""))</f>
        <v/>
      </c>
      <c r="Q77" t="str">
        <f>IF(B77="","",IFERROR(_xlfn.XLOOKUP(B77,TableLibrarySigns[Block],TableLibrarySigns[Normative]),""))</f>
        <v/>
      </c>
      <c r="R77" t="str">
        <f>IF(B77="","",IFERROR(_xlfn.XLOOKUP(B77,TableLibrarySigns[Block],TableLibrarySigns[Description]),""))</f>
        <v/>
      </c>
      <c r="S77" t="str">
        <f t="shared" si="5"/>
        <v/>
      </c>
      <c r="T77" t="str">
        <f>IF(B77="","",IFERROR(_xlfn.XLOOKUP(B77,TableLibrarySigns[Block],TableLibrarySigns[UnitTime]),""))</f>
        <v/>
      </c>
      <c r="U77" t="str">
        <f>IF(B77="","",IFERROR(_xlfn.XLOOKUP(B77,TableLibrarySigns[Block],TableLibrarySigns[UnitCost]),""))</f>
        <v/>
      </c>
      <c r="V77" t="str">
        <f t="shared" si="6"/>
        <v/>
      </c>
    </row>
    <row r="78" spans="1:22" ht="16.8" customHeight="1">
      <c r="A78" t="str">
        <f t="shared" si="7"/>
        <v/>
      </c>
      <c r="D78" s="2"/>
      <c r="E78" s="6" t="str">
        <f>IF(SignsTable[[#This Row],[PKValue]]="","",IF(D78="","",INT(D78/1000)&amp;"+"&amp;TEXT(MOD(D78,1000),"000.00")))</f>
        <v/>
      </c>
      <c r="J78" t="str">
        <f>IF(B78="","",IFERROR(_xlfn.XLOOKUP(B78,TableLibrarySigns[Block],TableLibrarySigns[Material]),""))</f>
        <v/>
      </c>
      <c r="K78" t="str">
        <f>IF(B78="","",IFERROR(_xlfn.XLOOKUP(B78,TableLibrarySigns[Block],TableLibrarySigns[RotationMode]),""))</f>
        <v/>
      </c>
      <c r="L78" t="str">
        <f>IF(B78="","",IFERROR(_xlfn.XLOOKUP(B78,TableLibrarySigns[Block],TableLibrarySigns[Layer]),""))</f>
        <v/>
      </c>
      <c r="M78" t="str">
        <f>IF(B78="","",IFERROR(_xlfn.XLOOKUP(B78,TableLibrarySigns[Block],TableLibrarySigns[DWGName]),""))</f>
        <v/>
      </c>
      <c r="N78" t="str">
        <f>IF(B78="","",IFERROR(_xlfn.XLOOKUP(B78,TableLibrarySigns[Block],TableLibrarySigns[SignCode]),""))</f>
        <v/>
      </c>
      <c r="O78" t="str">
        <f>IF(B78="","",IFERROR(_xlfn.XLOOKUP(B78,TableLibrarySigns[Block],TableLibrarySigns[IFCEntity]),""))</f>
        <v/>
      </c>
      <c r="P78" t="str">
        <f>IF(B78="","",IFERROR(_xlfn.XLOOKUP(B78,TableLibrarySigns[Block],TableLibrarySigns[Category]),""))</f>
        <v/>
      </c>
      <c r="Q78" t="str">
        <f>IF(B78="","",IFERROR(_xlfn.XLOOKUP(B78,TableLibrarySigns[Block],TableLibrarySigns[Normative]),""))</f>
        <v/>
      </c>
      <c r="R78" t="str">
        <f>IF(B78="","",IFERROR(_xlfn.XLOOKUP(B78,TableLibrarySigns[Block],TableLibrarySigns[Description]),""))</f>
        <v/>
      </c>
      <c r="S78" t="str">
        <f t="shared" si="5"/>
        <v/>
      </c>
      <c r="T78" t="str">
        <f>IF(B78="","",IFERROR(_xlfn.XLOOKUP(B78,TableLibrarySigns[Block],TableLibrarySigns[UnitTime]),""))</f>
        <v/>
      </c>
      <c r="U78" t="str">
        <f>IF(B78="","",IFERROR(_xlfn.XLOOKUP(B78,TableLibrarySigns[Block],TableLibrarySigns[UnitCost]),""))</f>
        <v/>
      </c>
      <c r="V78" t="str">
        <f t="shared" si="6"/>
        <v/>
      </c>
    </row>
    <row r="79" spans="1:22" ht="16.8" customHeight="1">
      <c r="A79" t="str">
        <f t="shared" si="7"/>
        <v/>
      </c>
      <c r="D79" s="2"/>
      <c r="E79" s="6" t="str">
        <f>IF(SignsTable[[#This Row],[PKValue]]="","",IF(D79="","",INT(D79/1000)&amp;"+"&amp;TEXT(MOD(D79,1000),"000.00")))</f>
        <v/>
      </c>
      <c r="J79" t="str">
        <f>IF(B79="","",IFERROR(_xlfn.XLOOKUP(B79,TableLibrarySigns[Block],TableLibrarySigns[Material]),""))</f>
        <v/>
      </c>
      <c r="K79" t="str">
        <f>IF(B79="","",IFERROR(_xlfn.XLOOKUP(B79,TableLibrarySigns[Block],TableLibrarySigns[RotationMode]),""))</f>
        <v/>
      </c>
      <c r="L79" t="str">
        <f>IF(B79="","",IFERROR(_xlfn.XLOOKUP(B79,TableLibrarySigns[Block],TableLibrarySigns[Layer]),""))</f>
        <v/>
      </c>
      <c r="M79" t="str">
        <f>IF(B79="","",IFERROR(_xlfn.XLOOKUP(B79,TableLibrarySigns[Block],TableLibrarySigns[DWGName]),""))</f>
        <v/>
      </c>
      <c r="N79" t="str">
        <f>IF(B79="","",IFERROR(_xlfn.XLOOKUP(B79,TableLibrarySigns[Block],TableLibrarySigns[SignCode]),""))</f>
        <v/>
      </c>
      <c r="O79" t="str">
        <f>IF(B79="","",IFERROR(_xlfn.XLOOKUP(B79,TableLibrarySigns[Block],TableLibrarySigns[IFCEntity]),""))</f>
        <v/>
      </c>
      <c r="P79" t="str">
        <f>IF(B79="","",IFERROR(_xlfn.XLOOKUP(B79,TableLibrarySigns[Block],TableLibrarySigns[Category]),""))</f>
        <v/>
      </c>
      <c r="Q79" t="str">
        <f>IF(B79="","",IFERROR(_xlfn.XLOOKUP(B79,TableLibrarySigns[Block],TableLibrarySigns[Normative]),""))</f>
        <v/>
      </c>
      <c r="R79" t="str">
        <f>IF(B79="","",IFERROR(_xlfn.XLOOKUP(B79,TableLibrarySigns[Block],TableLibrarySigns[Description]),""))</f>
        <v/>
      </c>
      <c r="S79" t="str">
        <f t="shared" si="5"/>
        <v/>
      </c>
      <c r="T79" t="str">
        <f>IF(B79="","",IFERROR(_xlfn.XLOOKUP(B79,TableLibrarySigns[Block],TableLibrarySigns[UnitTime]),""))</f>
        <v/>
      </c>
      <c r="U79" t="str">
        <f>IF(B79="","",IFERROR(_xlfn.XLOOKUP(B79,TableLibrarySigns[Block],TableLibrarySigns[UnitCost]),""))</f>
        <v/>
      </c>
      <c r="V79" t="str">
        <f t="shared" si="6"/>
        <v/>
      </c>
    </row>
    <row r="80" spans="1:22" ht="16.8" customHeight="1">
      <c r="A80" t="str">
        <f t="shared" si="7"/>
        <v/>
      </c>
      <c r="D80" s="2"/>
      <c r="E80" s="6" t="str">
        <f>IF(SignsTable[[#This Row],[PKValue]]="","",IF(D80="","",INT(D80/1000)&amp;"+"&amp;TEXT(MOD(D80,1000),"000.00")))</f>
        <v/>
      </c>
      <c r="J80" t="str">
        <f>IF(B80="","",IFERROR(_xlfn.XLOOKUP(B80,TableLibrarySigns[Block],TableLibrarySigns[Material]),""))</f>
        <v/>
      </c>
      <c r="K80" t="str">
        <f>IF(B80="","",IFERROR(_xlfn.XLOOKUP(B80,TableLibrarySigns[Block],TableLibrarySigns[RotationMode]),""))</f>
        <v/>
      </c>
      <c r="L80" t="str">
        <f>IF(B80="","",IFERROR(_xlfn.XLOOKUP(B80,TableLibrarySigns[Block],TableLibrarySigns[Layer]),""))</f>
        <v/>
      </c>
      <c r="M80" t="str">
        <f>IF(B80="","",IFERROR(_xlfn.XLOOKUP(B80,TableLibrarySigns[Block],TableLibrarySigns[DWGName]),""))</f>
        <v/>
      </c>
      <c r="N80" t="str">
        <f>IF(B80="","",IFERROR(_xlfn.XLOOKUP(B80,TableLibrarySigns[Block],TableLibrarySigns[SignCode]),""))</f>
        <v/>
      </c>
      <c r="O80" t="str">
        <f>IF(B80="","",IFERROR(_xlfn.XLOOKUP(B80,TableLibrarySigns[Block],TableLibrarySigns[IFCEntity]),""))</f>
        <v/>
      </c>
      <c r="P80" t="str">
        <f>IF(B80="","",IFERROR(_xlfn.XLOOKUP(B80,TableLibrarySigns[Block],TableLibrarySigns[Category]),""))</f>
        <v/>
      </c>
      <c r="Q80" t="str">
        <f>IF(B80="","",IFERROR(_xlfn.XLOOKUP(B80,TableLibrarySigns[Block],TableLibrarySigns[Normative]),""))</f>
        <v/>
      </c>
      <c r="R80" t="str">
        <f>IF(B80="","",IFERROR(_xlfn.XLOOKUP(B80,TableLibrarySigns[Block],TableLibrarySigns[Description]),""))</f>
        <v/>
      </c>
      <c r="S80" t="str">
        <f t="shared" si="5"/>
        <v/>
      </c>
      <c r="T80" t="str">
        <f>IF(B80="","",IFERROR(_xlfn.XLOOKUP(B80,TableLibrarySigns[Block],TableLibrarySigns[UnitTime]),""))</f>
        <v/>
      </c>
      <c r="U80" t="str">
        <f>IF(B80="","",IFERROR(_xlfn.XLOOKUP(B80,TableLibrarySigns[Block],TableLibrarySigns[UnitCost]),""))</f>
        <v/>
      </c>
      <c r="V80" t="str">
        <f t="shared" si="6"/>
        <v/>
      </c>
    </row>
    <row r="81" spans="1:22" ht="16.8" customHeight="1">
      <c r="A81" t="str">
        <f t="shared" si="7"/>
        <v/>
      </c>
      <c r="D81" s="2"/>
      <c r="E81" s="6" t="str">
        <f>IF(SignsTable[[#This Row],[PKValue]]="","",IF(D81="","",INT(D81/1000)&amp;"+"&amp;TEXT(MOD(D81,1000),"000.00")))</f>
        <v/>
      </c>
      <c r="J81" t="str">
        <f>IF(B81="","",IFERROR(_xlfn.XLOOKUP(B81,TableLibrarySigns[Block],TableLibrarySigns[Material]),""))</f>
        <v/>
      </c>
      <c r="K81" t="str">
        <f>IF(B81="","",IFERROR(_xlfn.XLOOKUP(B81,TableLibrarySigns[Block],TableLibrarySigns[RotationMode]),""))</f>
        <v/>
      </c>
      <c r="L81" t="str">
        <f>IF(B81="","",IFERROR(_xlfn.XLOOKUP(B81,TableLibrarySigns[Block],TableLibrarySigns[Layer]),""))</f>
        <v/>
      </c>
      <c r="M81" t="str">
        <f>IF(B81="","",IFERROR(_xlfn.XLOOKUP(B81,TableLibrarySigns[Block],TableLibrarySigns[DWGName]),""))</f>
        <v/>
      </c>
      <c r="N81" t="str">
        <f>IF(B81="","",IFERROR(_xlfn.XLOOKUP(B81,TableLibrarySigns[Block],TableLibrarySigns[SignCode]),""))</f>
        <v/>
      </c>
      <c r="O81" t="str">
        <f>IF(B81="","",IFERROR(_xlfn.XLOOKUP(B81,TableLibrarySigns[Block],TableLibrarySigns[IFCEntity]),""))</f>
        <v/>
      </c>
      <c r="P81" t="str">
        <f>IF(B81="","",IFERROR(_xlfn.XLOOKUP(B81,TableLibrarySigns[Block],TableLibrarySigns[Category]),""))</f>
        <v/>
      </c>
      <c r="Q81" t="str">
        <f>IF(B81="","",IFERROR(_xlfn.XLOOKUP(B81,TableLibrarySigns[Block],TableLibrarySigns[Normative]),""))</f>
        <v/>
      </c>
      <c r="R81" t="str">
        <f>IF(B81="","",IFERROR(_xlfn.XLOOKUP(B81,TableLibrarySigns[Block],TableLibrarySigns[Description]),""))</f>
        <v/>
      </c>
      <c r="S81" t="str">
        <f t="shared" si="5"/>
        <v/>
      </c>
      <c r="T81" t="str">
        <f>IF(B81="","",IFERROR(_xlfn.XLOOKUP(B81,TableLibrarySigns[Block],TableLibrarySigns[UnitTime]),""))</f>
        <v/>
      </c>
      <c r="U81" t="str">
        <f>IF(B81="","",IFERROR(_xlfn.XLOOKUP(B81,TableLibrarySigns[Block],TableLibrarySigns[UnitCost]),""))</f>
        <v/>
      </c>
      <c r="V81" t="str">
        <f t="shared" si="6"/>
        <v/>
      </c>
    </row>
    <row r="82" spans="1:22" ht="16.8" customHeight="1">
      <c r="A82" t="str">
        <f t="shared" si="7"/>
        <v/>
      </c>
      <c r="D82" s="2"/>
      <c r="E82" s="6" t="str">
        <f>IF(SignsTable[[#This Row],[PKValue]]="","",IF(D82="","",INT(D82/1000)&amp;"+"&amp;TEXT(MOD(D82,1000),"000.00")))</f>
        <v/>
      </c>
      <c r="J82" t="str">
        <f>IF(B82="","",IFERROR(_xlfn.XLOOKUP(B82,TableLibrarySigns[Block],TableLibrarySigns[Material]),""))</f>
        <v/>
      </c>
      <c r="K82" t="str">
        <f>IF(B82="","",IFERROR(_xlfn.XLOOKUP(B82,TableLibrarySigns[Block],TableLibrarySigns[RotationMode]),""))</f>
        <v/>
      </c>
      <c r="L82" t="str">
        <f>IF(B82="","",IFERROR(_xlfn.XLOOKUP(B82,TableLibrarySigns[Block],TableLibrarySigns[Layer]),""))</f>
        <v/>
      </c>
      <c r="M82" t="str">
        <f>IF(B82="","",IFERROR(_xlfn.XLOOKUP(B82,TableLibrarySigns[Block],TableLibrarySigns[DWGName]),""))</f>
        <v/>
      </c>
      <c r="N82" t="str">
        <f>IF(B82="","",IFERROR(_xlfn.XLOOKUP(B82,TableLibrarySigns[Block],TableLibrarySigns[SignCode]),""))</f>
        <v/>
      </c>
      <c r="O82" t="str">
        <f>IF(B82="","",IFERROR(_xlfn.XLOOKUP(B82,TableLibrarySigns[Block],TableLibrarySigns[IFCEntity]),""))</f>
        <v/>
      </c>
      <c r="P82" t="str">
        <f>IF(B82="","",IFERROR(_xlfn.XLOOKUP(B82,TableLibrarySigns[Block],TableLibrarySigns[Category]),""))</f>
        <v/>
      </c>
      <c r="Q82" t="str">
        <f>IF(B82="","",IFERROR(_xlfn.XLOOKUP(B82,TableLibrarySigns[Block],TableLibrarySigns[Normative]),""))</f>
        <v/>
      </c>
      <c r="R82" t="str">
        <f>IF(B82="","",IFERROR(_xlfn.XLOOKUP(B82,TableLibrarySigns[Block],TableLibrarySigns[Description]),""))</f>
        <v/>
      </c>
      <c r="S82" t="str">
        <f t="shared" si="5"/>
        <v/>
      </c>
      <c r="T82" t="str">
        <f>IF(B82="","",IFERROR(_xlfn.XLOOKUP(B82,TableLibrarySigns[Block],TableLibrarySigns[UnitTime]),""))</f>
        <v/>
      </c>
      <c r="U82" t="str">
        <f>IF(B82="","",IFERROR(_xlfn.XLOOKUP(B82,TableLibrarySigns[Block],TableLibrarySigns[UnitCost]),""))</f>
        <v/>
      </c>
      <c r="V82" t="str">
        <f t="shared" si="6"/>
        <v/>
      </c>
    </row>
    <row r="83" spans="1:22" ht="16.8" customHeight="1">
      <c r="A83" t="str">
        <f t="shared" si="7"/>
        <v/>
      </c>
      <c r="D83" s="2"/>
      <c r="E83" s="6" t="str">
        <f>IF(SignsTable[[#This Row],[PKValue]]="","",IF(D83="","",INT(D83/1000)&amp;"+"&amp;TEXT(MOD(D83,1000),"000.00")))</f>
        <v/>
      </c>
      <c r="J83" t="str">
        <f>IF(B83="","",IFERROR(_xlfn.XLOOKUP(B83,TableLibrarySigns[Block],TableLibrarySigns[Material]),""))</f>
        <v/>
      </c>
      <c r="K83" t="str">
        <f>IF(B83="","",IFERROR(_xlfn.XLOOKUP(B83,TableLibrarySigns[Block],TableLibrarySigns[RotationMode]),""))</f>
        <v/>
      </c>
      <c r="L83" t="str">
        <f>IF(B83="","",IFERROR(_xlfn.XLOOKUP(B83,TableLibrarySigns[Block],TableLibrarySigns[Layer]),""))</f>
        <v/>
      </c>
      <c r="M83" t="str">
        <f>IF(B83="","",IFERROR(_xlfn.XLOOKUP(B83,TableLibrarySigns[Block],TableLibrarySigns[DWGName]),""))</f>
        <v/>
      </c>
      <c r="N83" t="str">
        <f>IF(B83="","",IFERROR(_xlfn.XLOOKUP(B83,TableLibrarySigns[Block],TableLibrarySigns[SignCode]),""))</f>
        <v/>
      </c>
      <c r="O83" t="str">
        <f>IF(B83="","",IFERROR(_xlfn.XLOOKUP(B83,TableLibrarySigns[Block],TableLibrarySigns[IFCEntity]),""))</f>
        <v/>
      </c>
      <c r="P83" t="str">
        <f>IF(B83="","",IFERROR(_xlfn.XLOOKUP(B83,TableLibrarySigns[Block],TableLibrarySigns[Category]),""))</f>
        <v/>
      </c>
      <c r="Q83" t="str">
        <f>IF(B83="","",IFERROR(_xlfn.XLOOKUP(B83,TableLibrarySigns[Block],TableLibrarySigns[Normative]),""))</f>
        <v/>
      </c>
      <c r="R83" t="str">
        <f>IF(B83="","",IFERROR(_xlfn.XLOOKUP(B83,TableLibrarySigns[Block],TableLibrarySigns[Description]),""))</f>
        <v/>
      </c>
      <c r="S83" t="str">
        <f t="shared" si="5"/>
        <v/>
      </c>
      <c r="T83" t="str">
        <f>IF(B83="","",IFERROR(_xlfn.XLOOKUP(B83,TableLibrarySigns[Block],TableLibrarySigns[UnitTime]),""))</f>
        <v/>
      </c>
      <c r="U83" t="str">
        <f>IF(B83="","",IFERROR(_xlfn.XLOOKUP(B83,TableLibrarySigns[Block],TableLibrarySigns[UnitCost]),""))</f>
        <v/>
      </c>
      <c r="V83" t="str">
        <f t="shared" si="6"/>
        <v/>
      </c>
    </row>
    <row r="84" spans="1:22" ht="16.8" customHeight="1">
      <c r="A84" t="str">
        <f t="shared" si="7"/>
        <v/>
      </c>
      <c r="D84" s="2"/>
      <c r="E84" s="6" t="str">
        <f>IF(SignsTable[[#This Row],[PKValue]]="","",IF(D84="","",INT(D84/1000)&amp;"+"&amp;TEXT(MOD(D84,1000),"000.00")))</f>
        <v/>
      </c>
      <c r="J84" t="str">
        <f>IF(B84="","",IFERROR(_xlfn.XLOOKUP(B84,TableLibrarySigns[Block],TableLibrarySigns[Material]),""))</f>
        <v/>
      </c>
      <c r="K84" t="str">
        <f>IF(B84="","",IFERROR(_xlfn.XLOOKUP(B84,TableLibrarySigns[Block],TableLibrarySigns[RotationMode]),""))</f>
        <v/>
      </c>
      <c r="L84" t="str">
        <f>IF(B84="","",IFERROR(_xlfn.XLOOKUP(B84,TableLibrarySigns[Block],TableLibrarySigns[Layer]),""))</f>
        <v/>
      </c>
      <c r="M84" t="str">
        <f>IF(B84="","",IFERROR(_xlfn.XLOOKUP(B84,TableLibrarySigns[Block],TableLibrarySigns[DWGName]),""))</f>
        <v/>
      </c>
      <c r="N84" t="str">
        <f>IF(B84="","",IFERROR(_xlfn.XLOOKUP(B84,TableLibrarySigns[Block],TableLibrarySigns[SignCode]),""))</f>
        <v/>
      </c>
      <c r="O84" t="str">
        <f>IF(B84="","",IFERROR(_xlfn.XLOOKUP(B84,TableLibrarySigns[Block],TableLibrarySigns[IFCEntity]),""))</f>
        <v/>
      </c>
      <c r="P84" t="str">
        <f>IF(B84="","",IFERROR(_xlfn.XLOOKUP(B84,TableLibrarySigns[Block],TableLibrarySigns[Category]),""))</f>
        <v/>
      </c>
      <c r="Q84" t="str">
        <f>IF(B84="","",IFERROR(_xlfn.XLOOKUP(B84,TableLibrarySigns[Block],TableLibrarySigns[Normative]),""))</f>
        <v/>
      </c>
      <c r="R84" t="str">
        <f>IF(B84="","",IFERROR(_xlfn.XLOOKUP(B84,TableLibrarySigns[Block],TableLibrarySigns[Description]),""))</f>
        <v/>
      </c>
      <c r="S84" t="str">
        <f t="shared" si="5"/>
        <v/>
      </c>
      <c r="T84" t="str">
        <f>IF(B84="","",IFERROR(_xlfn.XLOOKUP(B84,TableLibrarySigns[Block],TableLibrarySigns[UnitTime]),""))</f>
        <v/>
      </c>
      <c r="U84" t="str">
        <f>IF(B84="","",IFERROR(_xlfn.XLOOKUP(B84,TableLibrarySigns[Block],TableLibrarySigns[UnitCost]),""))</f>
        <v/>
      </c>
      <c r="V84" t="str">
        <f t="shared" si="6"/>
        <v/>
      </c>
    </row>
    <row r="85" spans="1:22" ht="16.8" customHeight="1">
      <c r="A85" t="str">
        <f t="shared" si="7"/>
        <v/>
      </c>
      <c r="D85" s="2"/>
      <c r="E85" s="6" t="str">
        <f>IF(SignsTable[[#This Row],[PKValue]]="","",IF(D85="","",INT(D85/1000)&amp;"+"&amp;TEXT(MOD(D85,1000),"000.00")))</f>
        <v/>
      </c>
      <c r="J85" t="str">
        <f>IF(B85="","",IFERROR(_xlfn.XLOOKUP(B85,TableLibrarySigns[Block],TableLibrarySigns[Material]),""))</f>
        <v/>
      </c>
      <c r="K85" t="str">
        <f>IF(B85="","",IFERROR(_xlfn.XLOOKUP(B85,TableLibrarySigns[Block],TableLibrarySigns[RotationMode]),""))</f>
        <v/>
      </c>
      <c r="L85" t="str">
        <f>IF(B85="","",IFERROR(_xlfn.XLOOKUP(B85,TableLibrarySigns[Block],TableLibrarySigns[Layer]),""))</f>
        <v/>
      </c>
      <c r="M85" t="str">
        <f>IF(B85="","",IFERROR(_xlfn.XLOOKUP(B85,TableLibrarySigns[Block],TableLibrarySigns[DWGName]),""))</f>
        <v/>
      </c>
      <c r="N85" t="str">
        <f>IF(B85="","",IFERROR(_xlfn.XLOOKUP(B85,TableLibrarySigns[Block],TableLibrarySigns[SignCode]),""))</f>
        <v/>
      </c>
      <c r="O85" t="str">
        <f>IF(B85="","",IFERROR(_xlfn.XLOOKUP(B85,TableLibrarySigns[Block],TableLibrarySigns[IFCEntity]),""))</f>
        <v/>
      </c>
      <c r="P85" t="str">
        <f>IF(B85="","",IFERROR(_xlfn.XLOOKUP(B85,TableLibrarySigns[Block],TableLibrarySigns[Category]),""))</f>
        <v/>
      </c>
      <c r="Q85" t="str">
        <f>IF(B85="","",IFERROR(_xlfn.XLOOKUP(B85,TableLibrarySigns[Block],TableLibrarySigns[Normative]),""))</f>
        <v/>
      </c>
      <c r="R85" t="str">
        <f>IF(B85="","",IFERROR(_xlfn.XLOOKUP(B85,TableLibrarySigns[Block],TableLibrarySigns[Description]),""))</f>
        <v/>
      </c>
      <c r="S85" t="str">
        <f t="shared" si="5"/>
        <v/>
      </c>
      <c r="T85" t="str">
        <f>IF(B85="","",IFERROR(_xlfn.XLOOKUP(B85,TableLibrarySigns[Block],TableLibrarySigns[UnitTime]),""))</f>
        <v/>
      </c>
      <c r="U85" t="str">
        <f>IF(B85="","",IFERROR(_xlfn.XLOOKUP(B85,TableLibrarySigns[Block],TableLibrarySigns[UnitCost]),""))</f>
        <v/>
      </c>
      <c r="V85" t="str">
        <f t="shared" si="6"/>
        <v/>
      </c>
    </row>
    <row r="86" spans="1:22" ht="16.8" customHeight="1">
      <c r="A86" t="str">
        <f t="shared" si="7"/>
        <v/>
      </c>
      <c r="D86" s="2"/>
      <c r="E86" s="6" t="str">
        <f>IF(SignsTable[[#This Row],[PKValue]]="","",IF(D86="","",INT(D86/1000)&amp;"+"&amp;TEXT(MOD(D86,1000),"000.00")))</f>
        <v/>
      </c>
      <c r="J86" t="str">
        <f>IF(B86="","",IFERROR(_xlfn.XLOOKUP(B86,TableLibrarySigns[Block],TableLibrarySigns[Material]),""))</f>
        <v/>
      </c>
      <c r="K86" t="str">
        <f>IF(B86="","",IFERROR(_xlfn.XLOOKUP(B86,TableLibrarySigns[Block],TableLibrarySigns[RotationMode]),""))</f>
        <v/>
      </c>
      <c r="L86" t="str">
        <f>IF(B86="","",IFERROR(_xlfn.XLOOKUP(B86,TableLibrarySigns[Block],TableLibrarySigns[Layer]),""))</f>
        <v/>
      </c>
      <c r="M86" t="str">
        <f>IF(B86="","",IFERROR(_xlfn.XLOOKUP(B86,TableLibrarySigns[Block],TableLibrarySigns[DWGName]),""))</f>
        <v/>
      </c>
      <c r="N86" t="str">
        <f>IF(B86="","",IFERROR(_xlfn.XLOOKUP(B86,TableLibrarySigns[Block],TableLibrarySigns[SignCode]),""))</f>
        <v/>
      </c>
      <c r="O86" t="str">
        <f>IF(B86="","",IFERROR(_xlfn.XLOOKUP(B86,TableLibrarySigns[Block],TableLibrarySigns[IFCEntity]),""))</f>
        <v/>
      </c>
      <c r="P86" t="str">
        <f>IF(B86="","",IFERROR(_xlfn.XLOOKUP(B86,TableLibrarySigns[Block],TableLibrarySigns[Category]),""))</f>
        <v/>
      </c>
      <c r="Q86" t="str">
        <f>IF(B86="","",IFERROR(_xlfn.XLOOKUP(B86,TableLibrarySigns[Block],TableLibrarySigns[Normative]),""))</f>
        <v/>
      </c>
      <c r="R86" t="str">
        <f>IF(B86="","",IFERROR(_xlfn.XLOOKUP(B86,TableLibrarySigns[Block],TableLibrarySigns[Description]),""))</f>
        <v/>
      </c>
      <c r="S86" t="str">
        <f t="shared" si="5"/>
        <v/>
      </c>
      <c r="T86" t="str">
        <f>IF(B86="","",IFERROR(_xlfn.XLOOKUP(B86,TableLibrarySigns[Block],TableLibrarySigns[UnitTime]),""))</f>
        <v/>
      </c>
      <c r="U86" t="str">
        <f>IF(B86="","",IFERROR(_xlfn.XLOOKUP(B86,TableLibrarySigns[Block],TableLibrarySigns[UnitCost]),""))</f>
        <v/>
      </c>
      <c r="V86" t="str">
        <f t="shared" si="6"/>
        <v/>
      </c>
    </row>
    <row r="87" spans="1:22" ht="16.8" customHeight="1">
      <c r="A87" t="str">
        <f t="shared" si="7"/>
        <v/>
      </c>
      <c r="D87" s="2"/>
      <c r="E87" s="6" t="str">
        <f>IF(SignsTable[[#This Row],[PKValue]]="","",IF(D87="","",INT(D87/1000)&amp;"+"&amp;TEXT(MOD(D87,1000),"000.00")))</f>
        <v/>
      </c>
      <c r="J87" t="str">
        <f>IF(B87="","",IFERROR(_xlfn.XLOOKUP(B87,TableLibrarySigns[Block],TableLibrarySigns[Material]),""))</f>
        <v/>
      </c>
      <c r="K87" t="str">
        <f>IF(B87="","",IFERROR(_xlfn.XLOOKUP(B87,TableLibrarySigns[Block],TableLibrarySigns[RotationMode]),""))</f>
        <v/>
      </c>
      <c r="L87" t="str">
        <f>IF(B87="","",IFERROR(_xlfn.XLOOKUP(B87,TableLibrarySigns[Block],TableLibrarySigns[Layer]),""))</f>
        <v/>
      </c>
      <c r="M87" t="str">
        <f>IF(B87="","",IFERROR(_xlfn.XLOOKUP(B87,TableLibrarySigns[Block],TableLibrarySigns[DWGName]),""))</f>
        <v/>
      </c>
      <c r="N87" t="str">
        <f>IF(B87="","",IFERROR(_xlfn.XLOOKUP(B87,TableLibrarySigns[Block],TableLibrarySigns[SignCode]),""))</f>
        <v/>
      </c>
      <c r="O87" t="str">
        <f>IF(B87="","",IFERROR(_xlfn.XLOOKUP(B87,TableLibrarySigns[Block],TableLibrarySigns[IFCEntity]),""))</f>
        <v/>
      </c>
      <c r="P87" t="str">
        <f>IF(B87="","",IFERROR(_xlfn.XLOOKUP(B87,TableLibrarySigns[Block],TableLibrarySigns[Category]),""))</f>
        <v/>
      </c>
      <c r="Q87" t="str">
        <f>IF(B87="","",IFERROR(_xlfn.XLOOKUP(B87,TableLibrarySigns[Block],TableLibrarySigns[Normative]),""))</f>
        <v/>
      </c>
      <c r="R87" t="str">
        <f>IF(B87="","",IFERROR(_xlfn.XLOOKUP(B87,TableLibrarySigns[Block],TableLibrarySigns[Description]),""))</f>
        <v/>
      </c>
      <c r="S87" t="str">
        <f t="shared" si="5"/>
        <v/>
      </c>
      <c r="T87" t="str">
        <f>IF(B87="","",IFERROR(_xlfn.XLOOKUP(B87,TableLibrarySigns[Block],TableLibrarySigns[UnitTime]),""))</f>
        <v/>
      </c>
      <c r="U87" t="str">
        <f>IF(B87="","",IFERROR(_xlfn.XLOOKUP(B87,TableLibrarySigns[Block],TableLibrarySigns[UnitCost]),""))</f>
        <v/>
      </c>
      <c r="V87" t="str">
        <f t="shared" si="6"/>
        <v/>
      </c>
    </row>
    <row r="88" spans="1:22" ht="16.8" customHeight="1">
      <c r="A88" t="str">
        <f t="shared" si="7"/>
        <v/>
      </c>
      <c r="D88" s="2"/>
      <c r="E88" s="6" t="str">
        <f>IF(SignsTable[[#This Row],[PKValue]]="","",IF(D88="","",INT(D88/1000)&amp;"+"&amp;TEXT(MOD(D88,1000),"000.00")))</f>
        <v/>
      </c>
      <c r="J88" t="str">
        <f>IF(B88="","",IFERROR(_xlfn.XLOOKUP(B88,TableLibrarySigns[Block],TableLibrarySigns[Material]),""))</f>
        <v/>
      </c>
      <c r="K88" t="str">
        <f>IF(B88="","",IFERROR(_xlfn.XLOOKUP(B88,TableLibrarySigns[Block],TableLibrarySigns[RotationMode]),""))</f>
        <v/>
      </c>
      <c r="L88" t="str">
        <f>IF(B88="","",IFERROR(_xlfn.XLOOKUP(B88,TableLibrarySigns[Block],TableLibrarySigns[Layer]),""))</f>
        <v/>
      </c>
      <c r="M88" t="str">
        <f>IF(B88="","",IFERROR(_xlfn.XLOOKUP(B88,TableLibrarySigns[Block],TableLibrarySigns[DWGName]),""))</f>
        <v/>
      </c>
      <c r="N88" t="str">
        <f>IF(B88="","",IFERROR(_xlfn.XLOOKUP(B88,TableLibrarySigns[Block],TableLibrarySigns[SignCode]),""))</f>
        <v/>
      </c>
      <c r="O88" t="str">
        <f>IF(B88="","",IFERROR(_xlfn.XLOOKUP(B88,TableLibrarySigns[Block],TableLibrarySigns[IFCEntity]),""))</f>
        <v/>
      </c>
      <c r="P88" t="str">
        <f>IF(B88="","",IFERROR(_xlfn.XLOOKUP(B88,TableLibrarySigns[Block],TableLibrarySigns[Category]),""))</f>
        <v/>
      </c>
      <c r="Q88" t="str">
        <f>IF(B88="","",IFERROR(_xlfn.XLOOKUP(B88,TableLibrarySigns[Block],TableLibrarySigns[Normative]),""))</f>
        <v/>
      </c>
      <c r="R88" t="str">
        <f>IF(B88="","",IFERROR(_xlfn.XLOOKUP(B88,TableLibrarySigns[Block],TableLibrarySigns[Description]),""))</f>
        <v/>
      </c>
      <c r="S88" t="str">
        <f t="shared" si="5"/>
        <v/>
      </c>
      <c r="T88" t="str">
        <f>IF(B88="","",IFERROR(_xlfn.XLOOKUP(B88,TableLibrarySigns[Block],TableLibrarySigns[UnitTime]),""))</f>
        <v/>
      </c>
      <c r="U88" t="str">
        <f>IF(B88="","",IFERROR(_xlfn.XLOOKUP(B88,TableLibrarySigns[Block],TableLibrarySigns[UnitCost]),""))</f>
        <v/>
      </c>
      <c r="V88" t="str">
        <f t="shared" si="6"/>
        <v/>
      </c>
    </row>
    <row r="89" spans="1:22" ht="16.8" customHeight="1">
      <c r="A89" t="str">
        <f t="shared" si="7"/>
        <v/>
      </c>
      <c r="D89" s="2"/>
      <c r="E89" s="6" t="str">
        <f>IF(SignsTable[[#This Row],[PKValue]]="","",IF(D89="","",INT(D89/1000)&amp;"+"&amp;TEXT(MOD(D89,1000),"000.00")))</f>
        <v/>
      </c>
      <c r="J89" t="str">
        <f>IF(B89="","",IFERROR(_xlfn.XLOOKUP(B89,TableLibrarySigns[Block],TableLibrarySigns[Material]),""))</f>
        <v/>
      </c>
      <c r="K89" t="str">
        <f>IF(B89="","",IFERROR(_xlfn.XLOOKUP(B89,TableLibrarySigns[Block],TableLibrarySigns[RotationMode]),""))</f>
        <v/>
      </c>
      <c r="L89" t="str">
        <f>IF(B89="","",IFERROR(_xlfn.XLOOKUP(B89,TableLibrarySigns[Block],TableLibrarySigns[Layer]),""))</f>
        <v/>
      </c>
      <c r="M89" t="str">
        <f>IF(B89="","",IFERROR(_xlfn.XLOOKUP(B89,TableLibrarySigns[Block],TableLibrarySigns[DWGName]),""))</f>
        <v/>
      </c>
      <c r="N89" t="str">
        <f>IF(B89="","",IFERROR(_xlfn.XLOOKUP(B89,TableLibrarySigns[Block],TableLibrarySigns[SignCode]),""))</f>
        <v/>
      </c>
      <c r="O89" t="str">
        <f>IF(B89="","",IFERROR(_xlfn.XLOOKUP(B89,TableLibrarySigns[Block],TableLibrarySigns[IFCEntity]),""))</f>
        <v/>
      </c>
      <c r="P89" t="str">
        <f>IF(B89="","",IFERROR(_xlfn.XLOOKUP(B89,TableLibrarySigns[Block],TableLibrarySigns[Category]),""))</f>
        <v/>
      </c>
      <c r="Q89" t="str">
        <f>IF(B89="","",IFERROR(_xlfn.XLOOKUP(B89,TableLibrarySigns[Block],TableLibrarySigns[Normative]),""))</f>
        <v/>
      </c>
      <c r="R89" t="str">
        <f>IF(B89="","",IFERROR(_xlfn.XLOOKUP(B89,TableLibrarySigns[Block],TableLibrarySigns[Description]),""))</f>
        <v/>
      </c>
      <c r="S89" t="str">
        <f t="shared" si="5"/>
        <v/>
      </c>
      <c r="T89" t="str">
        <f>IF(B89="","",IFERROR(_xlfn.XLOOKUP(B89,TableLibrarySigns[Block],TableLibrarySigns[UnitTime]),""))</f>
        <v/>
      </c>
      <c r="U89" t="str">
        <f>IF(B89="","",IFERROR(_xlfn.XLOOKUP(B89,TableLibrarySigns[Block],TableLibrarySigns[UnitCost]),""))</f>
        <v/>
      </c>
      <c r="V89" t="str">
        <f t="shared" si="6"/>
        <v/>
      </c>
    </row>
    <row r="90" spans="1:22" ht="16.8" customHeight="1">
      <c r="A90" t="str">
        <f t="shared" si="7"/>
        <v/>
      </c>
      <c r="D90" s="2"/>
      <c r="E90" s="6" t="str">
        <f>IF(SignsTable[[#This Row],[PKValue]]="","",IF(D90="","",INT(D90/1000)&amp;"+"&amp;TEXT(MOD(D90,1000),"000.00")))</f>
        <v/>
      </c>
      <c r="J90" t="str">
        <f>IF(B90="","",IFERROR(_xlfn.XLOOKUP(B90,TableLibrarySigns[Block],TableLibrarySigns[Material]),""))</f>
        <v/>
      </c>
      <c r="K90" t="str">
        <f>IF(B90="","",IFERROR(_xlfn.XLOOKUP(B90,TableLibrarySigns[Block],TableLibrarySigns[RotationMode]),""))</f>
        <v/>
      </c>
      <c r="L90" t="str">
        <f>IF(B90="","",IFERROR(_xlfn.XLOOKUP(B90,TableLibrarySigns[Block],TableLibrarySigns[Layer]),""))</f>
        <v/>
      </c>
      <c r="M90" t="str">
        <f>IF(B90="","",IFERROR(_xlfn.XLOOKUP(B90,TableLibrarySigns[Block],TableLibrarySigns[DWGName]),""))</f>
        <v/>
      </c>
      <c r="N90" t="str">
        <f>IF(B90="","",IFERROR(_xlfn.XLOOKUP(B90,TableLibrarySigns[Block],TableLibrarySigns[SignCode]),""))</f>
        <v/>
      </c>
      <c r="O90" t="str">
        <f>IF(B90="","",IFERROR(_xlfn.XLOOKUP(B90,TableLibrarySigns[Block],TableLibrarySigns[IFCEntity]),""))</f>
        <v/>
      </c>
      <c r="P90" t="str">
        <f>IF(B90="","",IFERROR(_xlfn.XLOOKUP(B90,TableLibrarySigns[Block],TableLibrarySigns[Category]),""))</f>
        <v/>
      </c>
      <c r="Q90" t="str">
        <f>IF(B90="","",IFERROR(_xlfn.XLOOKUP(B90,TableLibrarySigns[Block],TableLibrarySigns[Normative]),""))</f>
        <v/>
      </c>
      <c r="R90" t="str">
        <f>IF(B90="","",IFERROR(_xlfn.XLOOKUP(B90,TableLibrarySigns[Block],TableLibrarySigns[Description]),""))</f>
        <v/>
      </c>
      <c r="S90" t="str">
        <f t="shared" si="5"/>
        <v/>
      </c>
      <c r="T90" t="str">
        <f>IF(B90="","",IFERROR(_xlfn.XLOOKUP(B90,TableLibrarySigns[Block],TableLibrarySigns[UnitTime]),""))</f>
        <v/>
      </c>
      <c r="U90" t="str">
        <f>IF(B90="","",IFERROR(_xlfn.XLOOKUP(B90,TableLibrarySigns[Block],TableLibrarySigns[UnitCost]),""))</f>
        <v/>
      </c>
      <c r="V90" t="str">
        <f t="shared" si="6"/>
        <v/>
      </c>
    </row>
    <row r="91" spans="1:22" ht="16.8" customHeight="1">
      <c r="A91" t="str">
        <f t="shared" si="7"/>
        <v/>
      </c>
      <c r="D91" s="2"/>
      <c r="E91" s="6" t="str">
        <f>IF(SignsTable[[#This Row],[PKValue]]="","",IF(D91="","",INT(D91/1000)&amp;"+"&amp;TEXT(MOD(D91,1000),"000.00")))</f>
        <v/>
      </c>
      <c r="J91" t="str">
        <f>IF(B91="","",IFERROR(_xlfn.XLOOKUP(B91,TableLibrarySigns[Block],TableLibrarySigns[Material]),""))</f>
        <v/>
      </c>
      <c r="K91" t="str">
        <f>IF(B91="","",IFERROR(_xlfn.XLOOKUP(B91,TableLibrarySigns[Block],TableLibrarySigns[RotationMode]),""))</f>
        <v/>
      </c>
      <c r="L91" t="str">
        <f>IF(B91="","",IFERROR(_xlfn.XLOOKUP(B91,TableLibrarySigns[Block],TableLibrarySigns[Layer]),""))</f>
        <v/>
      </c>
      <c r="M91" t="str">
        <f>IF(B91="","",IFERROR(_xlfn.XLOOKUP(B91,TableLibrarySigns[Block],TableLibrarySigns[DWGName]),""))</f>
        <v/>
      </c>
      <c r="N91" t="str">
        <f>IF(B91="","",IFERROR(_xlfn.XLOOKUP(B91,TableLibrarySigns[Block],TableLibrarySigns[SignCode]),""))</f>
        <v/>
      </c>
      <c r="O91" t="str">
        <f>IF(B91="","",IFERROR(_xlfn.XLOOKUP(B91,TableLibrarySigns[Block],TableLibrarySigns[IFCEntity]),""))</f>
        <v/>
      </c>
      <c r="P91" t="str">
        <f>IF(B91="","",IFERROR(_xlfn.XLOOKUP(B91,TableLibrarySigns[Block],TableLibrarySigns[Category]),""))</f>
        <v/>
      </c>
      <c r="Q91" t="str">
        <f>IF(B91="","",IFERROR(_xlfn.XLOOKUP(B91,TableLibrarySigns[Block],TableLibrarySigns[Normative]),""))</f>
        <v/>
      </c>
      <c r="R91" t="str">
        <f>IF(B91="","",IFERROR(_xlfn.XLOOKUP(B91,TableLibrarySigns[Block],TableLibrarySigns[Description]),""))</f>
        <v/>
      </c>
      <c r="S91" t="str">
        <f t="shared" si="5"/>
        <v/>
      </c>
      <c r="T91" t="str">
        <f>IF(B91="","",IFERROR(_xlfn.XLOOKUP(B91,TableLibrarySigns[Block],TableLibrarySigns[UnitTime]),""))</f>
        <v/>
      </c>
      <c r="U91" t="str">
        <f>IF(B91="","",IFERROR(_xlfn.XLOOKUP(B91,TableLibrarySigns[Block],TableLibrarySigns[UnitCost]),""))</f>
        <v/>
      </c>
      <c r="V91" t="str">
        <f t="shared" si="6"/>
        <v/>
      </c>
    </row>
    <row r="92" spans="1:22" ht="16.8" customHeight="1">
      <c r="A92" t="str">
        <f t="shared" si="7"/>
        <v/>
      </c>
      <c r="D92" s="2"/>
      <c r="E92" s="6" t="str">
        <f>IF(SignsTable[[#This Row],[PKValue]]="","",IF(D92="","",INT(D92/1000)&amp;"+"&amp;TEXT(MOD(D92,1000),"000.00")))</f>
        <v/>
      </c>
      <c r="J92" t="str">
        <f>IF(B92="","",IFERROR(_xlfn.XLOOKUP(B92,TableLibrarySigns[Block],TableLibrarySigns[Material]),""))</f>
        <v/>
      </c>
      <c r="K92" t="str">
        <f>IF(B92="","",IFERROR(_xlfn.XLOOKUP(B92,TableLibrarySigns[Block],TableLibrarySigns[RotationMode]),""))</f>
        <v/>
      </c>
      <c r="L92" t="str">
        <f>IF(B92="","",IFERROR(_xlfn.XLOOKUP(B92,TableLibrarySigns[Block],TableLibrarySigns[Layer]),""))</f>
        <v/>
      </c>
      <c r="M92" t="str">
        <f>IF(B92="","",IFERROR(_xlfn.XLOOKUP(B92,TableLibrarySigns[Block],TableLibrarySigns[DWGName]),""))</f>
        <v/>
      </c>
      <c r="N92" t="str">
        <f>IF(B92="","",IFERROR(_xlfn.XLOOKUP(B92,TableLibrarySigns[Block],TableLibrarySigns[SignCode]),""))</f>
        <v/>
      </c>
      <c r="O92" t="str">
        <f>IF(B92="","",IFERROR(_xlfn.XLOOKUP(B92,TableLibrarySigns[Block],TableLibrarySigns[IFCEntity]),""))</f>
        <v/>
      </c>
      <c r="P92" t="str">
        <f>IF(B92="","",IFERROR(_xlfn.XLOOKUP(B92,TableLibrarySigns[Block],TableLibrarySigns[Category]),""))</f>
        <v/>
      </c>
      <c r="Q92" t="str">
        <f>IF(B92="","",IFERROR(_xlfn.XLOOKUP(B92,TableLibrarySigns[Block],TableLibrarySigns[Normative]),""))</f>
        <v/>
      </c>
      <c r="R92" t="str">
        <f>IF(B92="","",IFERROR(_xlfn.XLOOKUP(B92,TableLibrarySigns[Block],TableLibrarySigns[Description]),""))</f>
        <v/>
      </c>
      <c r="S92" t="str">
        <f t="shared" si="5"/>
        <v/>
      </c>
      <c r="T92" t="str">
        <f>IF(B92="","",IFERROR(_xlfn.XLOOKUP(B92,TableLibrarySigns[Block],TableLibrarySigns[UnitTime]),""))</f>
        <v/>
      </c>
      <c r="U92" t="str">
        <f>IF(B92="","",IFERROR(_xlfn.XLOOKUP(B92,TableLibrarySigns[Block],TableLibrarySigns[UnitCost]),""))</f>
        <v/>
      </c>
      <c r="V92" t="str">
        <f t="shared" si="6"/>
        <v/>
      </c>
    </row>
    <row r="93" spans="1:22" ht="16.8" customHeight="1">
      <c r="A93" t="str">
        <f t="shared" si="7"/>
        <v/>
      </c>
      <c r="D93" s="2"/>
      <c r="E93" s="6" t="str">
        <f>IF(SignsTable[[#This Row],[PKValue]]="","",IF(D93="","",INT(D93/1000)&amp;"+"&amp;TEXT(MOD(D93,1000),"000.00")))</f>
        <v/>
      </c>
      <c r="J93" t="str">
        <f>IF(B93="","",IFERROR(_xlfn.XLOOKUP(B93,TableLibrarySigns[Block],TableLibrarySigns[Material]),""))</f>
        <v/>
      </c>
      <c r="K93" t="str">
        <f>IF(B93="","",IFERROR(_xlfn.XLOOKUP(B93,TableLibrarySigns[Block],TableLibrarySigns[RotationMode]),""))</f>
        <v/>
      </c>
      <c r="L93" t="str">
        <f>IF(B93="","",IFERROR(_xlfn.XLOOKUP(B93,TableLibrarySigns[Block],TableLibrarySigns[Layer]),""))</f>
        <v/>
      </c>
      <c r="M93" t="str">
        <f>IF(B93="","",IFERROR(_xlfn.XLOOKUP(B93,TableLibrarySigns[Block],TableLibrarySigns[DWGName]),""))</f>
        <v/>
      </c>
      <c r="N93" t="str">
        <f>IF(B93="","",IFERROR(_xlfn.XLOOKUP(B93,TableLibrarySigns[Block],TableLibrarySigns[SignCode]),""))</f>
        <v/>
      </c>
      <c r="O93" t="str">
        <f>IF(B93="","",IFERROR(_xlfn.XLOOKUP(B93,TableLibrarySigns[Block],TableLibrarySigns[IFCEntity]),""))</f>
        <v/>
      </c>
      <c r="P93" t="str">
        <f>IF(B93="","",IFERROR(_xlfn.XLOOKUP(B93,TableLibrarySigns[Block],TableLibrarySigns[Category]),""))</f>
        <v/>
      </c>
      <c r="Q93" t="str">
        <f>IF(B93="","",IFERROR(_xlfn.XLOOKUP(B93,TableLibrarySigns[Block],TableLibrarySigns[Normative]),""))</f>
        <v/>
      </c>
      <c r="R93" t="str">
        <f>IF(B93="","",IFERROR(_xlfn.XLOOKUP(B93,TableLibrarySigns[Block],TableLibrarySigns[Description]),""))</f>
        <v/>
      </c>
      <c r="S93" t="str">
        <f t="shared" si="5"/>
        <v/>
      </c>
      <c r="T93" t="str">
        <f>IF(B93="","",IFERROR(_xlfn.XLOOKUP(B93,TableLibrarySigns[Block],TableLibrarySigns[UnitTime]),""))</f>
        <v/>
      </c>
      <c r="U93" t="str">
        <f>IF(B93="","",IFERROR(_xlfn.XLOOKUP(B93,TableLibrarySigns[Block],TableLibrarySigns[UnitCost]),""))</f>
        <v/>
      </c>
      <c r="V93" t="str">
        <f t="shared" si="6"/>
        <v/>
      </c>
    </row>
    <row r="94" spans="1:22" ht="16.8" customHeight="1">
      <c r="A94" t="str">
        <f t="shared" si="7"/>
        <v/>
      </c>
      <c r="D94" s="2"/>
      <c r="E94" s="6" t="str">
        <f>IF(SignsTable[[#This Row],[PKValue]]="","",IF(D94="","",INT(D94/1000)&amp;"+"&amp;TEXT(MOD(D94,1000),"000.00")))</f>
        <v/>
      </c>
      <c r="J94" t="str">
        <f>IF(B94="","",IFERROR(_xlfn.XLOOKUP(B94,TableLibrarySigns[Block],TableLibrarySigns[Material]),""))</f>
        <v/>
      </c>
      <c r="K94" t="str">
        <f>IF(B94="","",IFERROR(_xlfn.XLOOKUP(B94,TableLibrarySigns[Block],TableLibrarySigns[RotationMode]),""))</f>
        <v/>
      </c>
      <c r="L94" t="str">
        <f>IF(B94="","",IFERROR(_xlfn.XLOOKUP(B94,TableLibrarySigns[Block],TableLibrarySigns[Layer]),""))</f>
        <v/>
      </c>
      <c r="M94" t="str">
        <f>IF(B94="","",IFERROR(_xlfn.XLOOKUP(B94,TableLibrarySigns[Block],TableLibrarySigns[DWGName]),""))</f>
        <v/>
      </c>
      <c r="N94" t="str">
        <f>IF(B94="","",IFERROR(_xlfn.XLOOKUP(B94,TableLibrarySigns[Block],TableLibrarySigns[SignCode]),""))</f>
        <v/>
      </c>
      <c r="O94" t="str">
        <f>IF(B94="","",IFERROR(_xlfn.XLOOKUP(B94,TableLibrarySigns[Block],TableLibrarySigns[IFCEntity]),""))</f>
        <v/>
      </c>
      <c r="P94" t="str">
        <f>IF(B94="","",IFERROR(_xlfn.XLOOKUP(B94,TableLibrarySigns[Block],TableLibrarySigns[Category]),""))</f>
        <v/>
      </c>
      <c r="Q94" t="str">
        <f>IF(B94="","",IFERROR(_xlfn.XLOOKUP(B94,TableLibrarySigns[Block],TableLibrarySigns[Normative]),""))</f>
        <v/>
      </c>
      <c r="R94" t="str">
        <f>IF(B94="","",IFERROR(_xlfn.XLOOKUP(B94,TableLibrarySigns[Block],TableLibrarySigns[Description]),""))</f>
        <v/>
      </c>
      <c r="S94" t="str">
        <f t="shared" si="5"/>
        <v/>
      </c>
      <c r="T94" t="str">
        <f>IF(B94="","",IFERROR(_xlfn.XLOOKUP(B94,TableLibrarySigns[Block],TableLibrarySigns[UnitTime]),""))</f>
        <v/>
      </c>
      <c r="U94" t="str">
        <f>IF(B94="","",IFERROR(_xlfn.XLOOKUP(B94,TableLibrarySigns[Block],TableLibrarySigns[UnitCost]),""))</f>
        <v/>
      </c>
      <c r="V94" t="str">
        <f t="shared" si="6"/>
        <v/>
      </c>
    </row>
    <row r="95" spans="1:22" ht="16.8" customHeight="1">
      <c r="A95" t="str">
        <f t="shared" si="7"/>
        <v/>
      </c>
      <c r="D95" s="2"/>
      <c r="E95" s="6" t="str">
        <f>IF(SignsTable[[#This Row],[PKValue]]="","",IF(D95="","",INT(D95/1000)&amp;"+"&amp;TEXT(MOD(D95,1000),"000.00")))</f>
        <v/>
      </c>
      <c r="J95" t="str">
        <f>IF(B95="","",IFERROR(_xlfn.XLOOKUP(B95,TableLibrarySigns[Block],TableLibrarySigns[Material]),""))</f>
        <v/>
      </c>
      <c r="K95" t="str">
        <f>IF(B95="","",IFERROR(_xlfn.XLOOKUP(B95,TableLibrarySigns[Block],TableLibrarySigns[RotationMode]),""))</f>
        <v/>
      </c>
      <c r="L95" t="str">
        <f>IF(B95="","",IFERROR(_xlfn.XLOOKUP(B95,TableLibrarySigns[Block],TableLibrarySigns[Layer]),""))</f>
        <v/>
      </c>
      <c r="M95" t="str">
        <f>IF(B95="","",IFERROR(_xlfn.XLOOKUP(B95,TableLibrarySigns[Block],TableLibrarySigns[DWGName]),""))</f>
        <v/>
      </c>
      <c r="N95" t="str">
        <f>IF(B95="","",IFERROR(_xlfn.XLOOKUP(B95,TableLibrarySigns[Block],TableLibrarySigns[SignCode]),""))</f>
        <v/>
      </c>
      <c r="O95" t="str">
        <f>IF(B95="","",IFERROR(_xlfn.XLOOKUP(B95,TableLibrarySigns[Block],TableLibrarySigns[IFCEntity]),""))</f>
        <v/>
      </c>
      <c r="P95" t="str">
        <f>IF(B95="","",IFERROR(_xlfn.XLOOKUP(B95,TableLibrarySigns[Block],TableLibrarySigns[Category]),""))</f>
        <v/>
      </c>
      <c r="Q95" t="str">
        <f>IF(B95="","",IFERROR(_xlfn.XLOOKUP(B95,TableLibrarySigns[Block],TableLibrarySigns[Normative]),""))</f>
        <v/>
      </c>
      <c r="R95" t="str">
        <f>IF(B95="","",IFERROR(_xlfn.XLOOKUP(B95,TableLibrarySigns[Block],TableLibrarySigns[Description]),""))</f>
        <v/>
      </c>
      <c r="S95" t="str">
        <f t="shared" si="5"/>
        <v/>
      </c>
      <c r="T95" t="str">
        <f>IF(B95="","",IFERROR(_xlfn.XLOOKUP(B95,TableLibrarySigns[Block],TableLibrarySigns[UnitTime]),""))</f>
        <v/>
      </c>
      <c r="U95" t="str">
        <f>IF(B95="","",IFERROR(_xlfn.XLOOKUP(B95,TableLibrarySigns[Block],TableLibrarySigns[UnitCost]),""))</f>
        <v/>
      </c>
      <c r="V95" t="str">
        <f t="shared" si="6"/>
        <v/>
      </c>
    </row>
    <row r="96" spans="1:22" ht="16.8" customHeight="1">
      <c r="A96" t="str">
        <f t="shared" si="7"/>
        <v/>
      </c>
      <c r="D96" s="2"/>
      <c r="E96" s="6" t="str">
        <f>IF(SignsTable[[#This Row],[PKValue]]="","",IF(D96="","",INT(D96/1000)&amp;"+"&amp;TEXT(MOD(D96,1000),"000.00")))</f>
        <v/>
      </c>
      <c r="J96" t="str">
        <f>IF(B96="","",IFERROR(_xlfn.XLOOKUP(B96,TableLibrarySigns[Block],TableLibrarySigns[Material]),""))</f>
        <v/>
      </c>
      <c r="K96" t="str">
        <f>IF(B96="","",IFERROR(_xlfn.XLOOKUP(B96,TableLibrarySigns[Block],TableLibrarySigns[RotationMode]),""))</f>
        <v/>
      </c>
      <c r="L96" t="str">
        <f>IF(B96="","",IFERROR(_xlfn.XLOOKUP(B96,TableLibrarySigns[Block],TableLibrarySigns[Layer]),""))</f>
        <v/>
      </c>
      <c r="M96" t="str">
        <f>IF(B96="","",IFERROR(_xlfn.XLOOKUP(B96,TableLibrarySigns[Block],TableLibrarySigns[DWGName]),""))</f>
        <v/>
      </c>
      <c r="N96" t="str">
        <f>IF(B96="","",IFERROR(_xlfn.XLOOKUP(B96,TableLibrarySigns[Block],TableLibrarySigns[SignCode]),""))</f>
        <v/>
      </c>
      <c r="O96" t="str">
        <f>IF(B96="","",IFERROR(_xlfn.XLOOKUP(B96,TableLibrarySigns[Block],TableLibrarySigns[IFCEntity]),""))</f>
        <v/>
      </c>
      <c r="P96" t="str">
        <f>IF(B96="","",IFERROR(_xlfn.XLOOKUP(B96,TableLibrarySigns[Block],TableLibrarySigns[Category]),""))</f>
        <v/>
      </c>
      <c r="Q96" t="str">
        <f>IF(B96="","",IFERROR(_xlfn.XLOOKUP(B96,TableLibrarySigns[Block],TableLibrarySigns[Normative]),""))</f>
        <v/>
      </c>
      <c r="R96" t="str">
        <f>IF(B96="","",IFERROR(_xlfn.XLOOKUP(B96,TableLibrarySigns[Block],TableLibrarySigns[Description]),""))</f>
        <v/>
      </c>
      <c r="S96" t="str">
        <f t="shared" si="5"/>
        <v/>
      </c>
      <c r="T96" t="str">
        <f>IF(B96="","",IFERROR(_xlfn.XLOOKUP(B96,TableLibrarySigns[Block],TableLibrarySigns[UnitTime]),""))</f>
        <v/>
      </c>
      <c r="U96" t="str">
        <f>IF(B96="","",IFERROR(_xlfn.XLOOKUP(B96,TableLibrarySigns[Block],TableLibrarySigns[UnitCost]),""))</f>
        <v/>
      </c>
      <c r="V96" t="str">
        <f t="shared" si="6"/>
        <v/>
      </c>
    </row>
    <row r="97" spans="1:22" ht="16.8" customHeight="1">
      <c r="A97" t="str">
        <f t="shared" si="7"/>
        <v/>
      </c>
      <c r="D97" s="2"/>
      <c r="E97" s="6" t="str">
        <f>IF(SignsTable[[#This Row],[PKValue]]="","",IF(D97="","",INT(D97/1000)&amp;"+"&amp;TEXT(MOD(D97,1000),"000.00")))</f>
        <v/>
      </c>
      <c r="J97" t="str">
        <f>IF(B97="","",IFERROR(_xlfn.XLOOKUP(B97,TableLibrarySigns[Block],TableLibrarySigns[Material]),""))</f>
        <v/>
      </c>
      <c r="K97" t="str">
        <f>IF(B97="","",IFERROR(_xlfn.XLOOKUP(B97,TableLibrarySigns[Block],TableLibrarySigns[RotationMode]),""))</f>
        <v/>
      </c>
      <c r="L97" t="str">
        <f>IF(B97="","",IFERROR(_xlfn.XLOOKUP(B97,TableLibrarySigns[Block],TableLibrarySigns[Layer]),""))</f>
        <v/>
      </c>
      <c r="M97" t="str">
        <f>IF(B97="","",IFERROR(_xlfn.XLOOKUP(B97,TableLibrarySigns[Block],TableLibrarySigns[DWGName]),""))</f>
        <v/>
      </c>
      <c r="N97" t="str">
        <f>IF(B97="","",IFERROR(_xlfn.XLOOKUP(B97,TableLibrarySigns[Block],TableLibrarySigns[SignCode]),""))</f>
        <v/>
      </c>
      <c r="O97" t="str">
        <f>IF(B97="","",IFERROR(_xlfn.XLOOKUP(B97,TableLibrarySigns[Block],TableLibrarySigns[IFCEntity]),""))</f>
        <v/>
      </c>
      <c r="P97" t="str">
        <f>IF(B97="","",IFERROR(_xlfn.XLOOKUP(B97,TableLibrarySigns[Block],TableLibrarySigns[Category]),""))</f>
        <v/>
      </c>
      <c r="Q97" t="str">
        <f>IF(B97="","",IFERROR(_xlfn.XLOOKUP(B97,TableLibrarySigns[Block],TableLibrarySigns[Normative]),""))</f>
        <v/>
      </c>
      <c r="R97" t="str">
        <f>IF(B97="","",IFERROR(_xlfn.XLOOKUP(B97,TableLibrarySigns[Block],TableLibrarySigns[Description]),""))</f>
        <v/>
      </c>
      <c r="S97" t="str">
        <f t="shared" si="5"/>
        <v/>
      </c>
      <c r="T97" t="str">
        <f>IF(B97="","",IFERROR(_xlfn.XLOOKUP(B97,TableLibrarySigns[Block],TableLibrarySigns[UnitTime]),""))</f>
        <v/>
      </c>
      <c r="U97" t="str">
        <f>IF(B97="","",IFERROR(_xlfn.XLOOKUP(B97,TableLibrarySigns[Block],TableLibrarySigns[UnitCost]),""))</f>
        <v/>
      </c>
      <c r="V97" t="str">
        <f t="shared" si="6"/>
        <v/>
      </c>
    </row>
    <row r="98" spans="1:22" ht="16.8" customHeight="1">
      <c r="A98" t="str">
        <f t="shared" si="7"/>
        <v/>
      </c>
      <c r="D98" s="2"/>
      <c r="E98" s="6" t="str">
        <f>IF(SignsTable[[#This Row],[PKValue]]="","",IF(D98="","",INT(D98/1000)&amp;"+"&amp;TEXT(MOD(D98,1000),"000.00")))</f>
        <v/>
      </c>
      <c r="J98" t="str">
        <f>IF(B98="","",IFERROR(_xlfn.XLOOKUP(B98,TableLibrarySigns[Block],TableLibrarySigns[Material]),""))</f>
        <v/>
      </c>
      <c r="K98" t="str">
        <f>IF(B98="","",IFERROR(_xlfn.XLOOKUP(B98,TableLibrarySigns[Block],TableLibrarySigns[RotationMode]),""))</f>
        <v/>
      </c>
      <c r="L98" t="str">
        <f>IF(B98="","",IFERROR(_xlfn.XLOOKUP(B98,TableLibrarySigns[Block],TableLibrarySigns[Layer]),""))</f>
        <v/>
      </c>
      <c r="M98" t="str">
        <f>IF(B98="","",IFERROR(_xlfn.XLOOKUP(B98,TableLibrarySigns[Block],TableLibrarySigns[DWGName]),""))</f>
        <v/>
      </c>
      <c r="N98" t="str">
        <f>IF(B98="","",IFERROR(_xlfn.XLOOKUP(B98,TableLibrarySigns[Block],TableLibrarySigns[SignCode]),""))</f>
        <v/>
      </c>
      <c r="O98" t="str">
        <f>IF(B98="","",IFERROR(_xlfn.XLOOKUP(B98,TableLibrarySigns[Block],TableLibrarySigns[IFCEntity]),""))</f>
        <v/>
      </c>
      <c r="P98" t="str">
        <f>IF(B98="","",IFERROR(_xlfn.XLOOKUP(B98,TableLibrarySigns[Block],TableLibrarySigns[Category]),""))</f>
        <v/>
      </c>
      <c r="Q98" t="str">
        <f>IF(B98="","",IFERROR(_xlfn.XLOOKUP(B98,TableLibrarySigns[Block],TableLibrarySigns[Normative]),""))</f>
        <v/>
      </c>
      <c r="R98" t="str">
        <f>IF(B98="","",IFERROR(_xlfn.XLOOKUP(B98,TableLibrarySigns[Block],TableLibrarySigns[Description]),""))</f>
        <v/>
      </c>
      <c r="S98" t="str">
        <f t="shared" ref="S98:S129" si="8">IF(B98="","",1)</f>
        <v/>
      </c>
      <c r="T98" t="str">
        <f>IF(B98="","",IFERROR(_xlfn.XLOOKUP(B98,TableLibrarySigns[Block],TableLibrarySigns[UnitTime]),""))</f>
        <v/>
      </c>
      <c r="U98" t="str">
        <f>IF(B98="","",IFERROR(_xlfn.XLOOKUP(B98,TableLibrarySigns[Block],TableLibrarySigns[UnitCost]),""))</f>
        <v/>
      </c>
      <c r="V98" t="str">
        <f t="shared" ref="V98:V129" si="9">IF(B98="","",S98*U98)</f>
        <v/>
      </c>
    </row>
    <row r="99" spans="1:22" ht="16.8" customHeight="1">
      <c r="A99" t="str">
        <f t="shared" si="7"/>
        <v/>
      </c>
      <c r="D99" s="2"/>
      <c r="E99" s="6" t="str">
        <f>IF(SignsTable[[#This Row],[PKValue]]="","",IF(D99="","",INT(D99/1000)&amp;"+"&amp;TEXT(MOD(D99,1000),"000.00")))</f>
        <v/>
      </c>
      <c r="J99" t="str">
        <f>IF(B99="","",IFERROR(_xlfn.XLOOKUP(B99,TableLibrarySigns[Block],TableLibrarySigns[Material]),""))</f>
        <v/>
      </c>
      <c r="K99" t="str">
        <f>IF(B99="","",IFERROR(_xlfn.XLOOKUP(B99,TableLibrarySigns[Block],TableLibrarySigns[RotationMode]),""))</f>
        <v/>
      </c>
      <c r="L99" t="str">
        <f>IF(B99="","",IFERROR(_xlfn.XLOOKUP(B99,TableLibrarySigns[Block],TableLibrarySigns[Layer]),""))</f>
        <v/>
      </c>
      <c r="M99" t="str">
        <f>IF(B99="","",IFERROR(_xlfn.XLOOKUP(B99,TableLibrarySigns[Block],TableLibrarySigns[DWGName]),""))</f>
        <v/>
      </c>
      <c r="N99" t="str">
        <f>IF(B99="","",IFERROR(_xlfn.XLOOKUP(B99,TableLibrarySigns[Block],TableLibrarySigns[SignCode]),""))</f>
        <v/>
      </c>
      <c r="O99" t="str">
        <f>IF(B99="","",IFERROR(_xlfn.XLOOKUP(B99,TableLibrarySigns[Block],TableLibrarySigns[IFCEntity]),""))</f>
        <v/>
      </c>
      <c r="P99" t="str">
        <f>IF(B99="","",IFERROR(_xlfn.XLOOKUP(B99,TableLibrarySigns[Block],TableLibrarySigns[Category]),""))</f>
        <v/>
      </c>
      <c r="Q99" t="str">
        <f>IF(B99="","",IFERROR(_xlfn.XLOOKUP(B99,TableLibrarySigns[Block],TableLibrarySigns[Normative]),""))</f>
        <v/>
      </c>
      <c r="R99" t="str">
        <f>IF(B99="","",IFERROR(_xlfn.XLOOKUP(B99,TableLibrarySigns[Block],TableLibrarySigns[Description]),""))</f>
        <v/>
      </c>
      <c r="S99" t="str">
        <f t="shared" si="8"/>
        <v/>
      </c>
      <c r="T99" t="str">
        <f>IF(B99="","",IFERROR(_xlfn.XLOOKUP(B99,TableLibrarySigns[Block],TableLibrarySigns[UnitTime]),""))</f>
        <v/>
      </c>
      <c r="U99" t="str">
        <f>IF(B99="","",IFERROR(_xlfn.XLOOKUP(B99,TableLibrarySigns[Block],TableLibrarySigns[UnitCost]),""))</f>
        <v/>
      </c>
      <c r="V99" t="str">
        <f t="shared" si="9"/>
        <v/>
      </c>
    </row>
    <row r="100" spans="1:22" ht="16.8" customHeight="1">
      <c r="A100" t="str">
        <f t="shared" si="7"/>
        <v/>
      </c>
      <c r="D100" s="2"/>
      <c r="E100" s="6" t="str">
        <f>IF(SignsTable[[#This Row],[PKValue]]="","",IF(D100="","",INT(D100/1000)&amp;"+"&amp;TEXT(MOD(D100,1000),"000.00")))</f>
        <v/>
      </c>
      <c r="J100" t="str">
        <f>IF(B100="","",IFERROR(_xlfn.XLOOKUP(B100,TableLibrarySigns[Block],TableLibrarySigns[Material]),""))</f>
        <v/>
      </c>
      <c r="K100" t="str">
        <f>IF(B100="","",IFERROR(_xlfn.XLOOKUP(B100,TableLibrarySigns[Block],TableLibrarySigns[RotationMode]),""))</f>
        <v/>
      </c>
      <c r="L100" t="str">
        <f>IF(B100="","",IFERROR(_xlfn.XLOOKUP(B100,TableLibrarySigns[Block],TableLibrarySigns[Layer]),""))</f>
        <v/>
      </c>
      <c r="M100" t="str">
        <f>IF(B100="","",IFERROR(_xlfn.XLOOKUP(B100,TableLibrarySigns[Block],TableLibrarySigns[DWGName]),""))</f>
        <v/>
      </c>
      <c r="N100" t="str">
        <f>IF(B100="","",IFERROR(_xlfn.XLOOKUP(B100,TableLibrarySigns[Block],TableLibrarySigns[SignCode]),""))</f>
        <v/>
      </c>
      <c r="O100" t="str">
        <f>IF(B100="","",IFERROR(_xlfn.XLOOKUP(B100,TableLibrarySigns[Block],TableLibrarySigns[IFCEntity]),""))</f>
        <v/>
      </c>
      <c r="P100" t="str">
        <f>IF(B100="","",IFERROR(_xlfn.XLOOKUP(B100,TableLibrarySigns[Block],TableLibrarySigns[Category]),""))</f>
        <v/>
      </c>
      <c r="Q100" t="str">
        <f>IF(B100="","",IFERROR(_xlfn.XLOOKUP(B100,TableLibrarySigns[Block],TableLibrarySigns[Normative]),""))</f>
        <v/>
      </c>
      <c r="R100" t="str">
        <f>IF(B100="","",IFERROR(_xlfn.XLOOKUP(B100,TableLibrarySigns[Block],TableLibrarySigns[Description]),""))</f>
        <v/>
      </c>
      <c r="S100" t="str">
        <f t="shared" si="8"/>
        <v/>
      </c>
      <c r="T100" t="str">
        <f>IF(B100="","",IFERROR(_xlfn.XLOOKUP(B100,TableLibrarySigns[Block],TableLibrarySigns[UnitTime]),""))</f>
        <v/>
      </c>
      <c r="U100" t="str">
        <f>IF(B100="","",IFERROR(_xlfn.XLOOKUP(B100,TableLibrarySigns[Block],TableLibrarySigns[UnitCost]),""))</f>
        <v/>
      </c>
      <c r="V100" t="str">
        <f t="shared" si="9"/>
        <v/>
      </c>
    </row>
    <row r="101" spans="1:22" ht="16.8" customHeight="1">
      <c r="A101" t="str">
        <f t="shared" si="7"/>
        <v/>
      </c>
      <c r="D101" s="2"/>
      <c r="E101" s="6" t="str">
        <f>IF(SignsTable[[#This Row],[PKValue]]="","",IF(D101="","",INT(D101/1000)&amp;"+"&amp;TEXT(MOD(D101,1000),"000.00")))</f>
        <v/>
      </c>
      <c r="J101" t="str">
        <f>IF(B101="","",IFERROR(_xlfn.XLOOKUP(B101,TableLibrarySigns[Block],TableLibrarySigns[Material]),""))</f>
        <v/>
      </c>
      <c r="K101" t="str">
        <f>IF(B101="","",IFERROR(_xlfn.XLOOKUP(B101,TableLibrarySigns[Block],TableLibrarySigns[RotationMode]),""))</f>
        <v/>
      </c>
      <c r="L101" t="str">
        <f>IF(B101="","",IFERROR(_xlfn.XLOOKUP(B101,TableLibrarySigns[Block],TableLibrarySigns[Layer]),""))</f>
        <v/>
      </c>
      <c r="M101" t="str">
        <f>IF(B101="","",IFERROR(_xlfn.XLOOKUP(B101,TableLibrarySigns[Block],TableLibrarySigns[DWGName]),""))</f>
        <v/>
      </c>
      <c r="N101" t="str">
        <f>IF(B101="","",IFERROR(_xlfn.XLOOKUP(B101,TableLibrarySigns[Block],TableLibrarySigns[SignCode]),""))</f>
        <v/>
      </c>
      <c r="O101" t="str">
        <f>IF(B101="","",IFERROR(_xlfn.XLOOKUP(B101,TableLibrarySigns[Block],TableLibrarySigns[IFCEntity]),""))</f>
        <v/>
      </c>
      <c r="P101" t="str">
        <f>IF(B101="","",IFERROR(_xlfn.XLOOKUP(B101,TableLibrarySigns[Block],TableLibrarySigns[Category]),""))</f>
        <v/>
      </c>
      <c r="Q101" t="str">
        <f>IF(B101="","",IFERROR(_xlfn.XLOOKUP(B101,TableLibrarySigns[Block],TableLibrarySigns[Normative]),""))</f>
        <v/>
      </c>
      <c r="R101" t="str">
        <f>IF(B101="","",IFERROR(_xlfn.XLOOKUP(B101,TableLibrarySigns[Block],TableLibrarySigns[Description]),""))</f>
        <v/>
      </c>
      <c r="S101" t="str">
        <f t="shared" si="8"/>
        <v/>
      </c>
      <c r="T101" t="str">
        <f>IF(B101="","",IFERROR(_xlfn.XLOOKUP(B101,TableLibrarySigns[Block],TableLibrarySigns[UnitTime]),""))</f>
        <v/>
      </c>
      <c r="U101" t="str">
        <f>IF(B101="","",IFERROR(_xlfn.XLOOKUP(B101,TableLibrarySigns[Block],TableLibrarySigns[UnitCost]),""))</f>
        <v/>
      </c>
      <c r="V101" t="str">
        <f t="shared" si="9"/>
        <v/>
      </c>
    </row>
    <row r="102" spans="1:22" ht="16.8" customHeight="1">
      <c r="A102" t="str">
        <f t="shared" si="7"/>
        <v/>
      </c>
      <c r="D102" s="2"/>
      <c r="E102" s="6" t="str">
        <f>IF(SignsTable[[#This Row],[PKValue]]="","",IF(D102="","",INT(D102/1000)&amp;"+"&amp;TEXT(MOD(D102,1000),"000.00")))</f>
        <v/>
      </c>
      <c r="J102" t="str">
        <f>IF(B102="","",IFERROR(_xlfn.XLOOKUP(B102,TableLibrarySigns[Block],TableLibrarySigns[Material]),""))</f>
        <v/>
      </c>
      <c r="K102" t="str">
        <f>IF(B102="","",IFERROR(_xlfn.XLOOKUP(B102,TableLibrarySigns[Block],TableLibrarySigns[RotationMode]),""))</f>
        <v/>
      </c>
      <c r="L102" t="str">
        <f>IF(B102="","",IFERROR(_xlfn.XLOOKUP(B102,TableLibrarySigns[Block],TableLibrarySigns[Layer]),""))</f>
        <v/>
      </c>
      <c r="M102" t="str">
        <f>IF(B102="","",IFERROR(_xlfn.XLOOKUP(B102,TableLibrarySigns[Block],TableLibrarySigns[DWGName]),""))</f>
        <v/>
      </c>
      <c r="N102" t="str">
        <f>IF(B102="","",IFERROR(_xlfn.XLOOKUP(B102,TableLibrarySigns[Block],TableLibrarySigns[SignCode]),""))</f>
        <v/>
      </c>
      <c r="O102" t="str">
        <f>IF(B102="","",IFERROR(_xlfn.XLOOKUP(B102,TableLibrarySigns[Block],TableLibrarySigns[IFCEntity]),""))</f>
        <v/>
      </c>
      <c r="P102" t="str">
        <f>IF(B102="","",IFERROR(_xlfn.XLOOKUP(B102,TableLibrarySigns[Block],TableLibrarySigns[Category]),""))</f>
        <v/>
      </c>
      <c r="Q102" t="str">
        <f>IF(B102="","",IFERROR(_xlfn.XLOOKUP(B102,TableLibrarySigns[Block],TableLibrarySigns[Normative]),""))</f>
        <v/>
      </c>
      <c r="R102" t="str">
        <f>IF(B102="","",IFERROR(_xlfn.XLOOKUP(B102,TableLibrarySigns[Block],TableLibrarySigns[Description]),""))</f>
        <v/>
      </c>
      <c r="S102" t="str">
        <f t="shared" si="8"/>
        <v/>
      </c>
      <c r="T102" t="str">
        <f>IF(B102="","",IFERROR(_xlfn.XLOOKUP(B102,TableLibrarySigns[Block],TableLibrarySigns[UnitTime]),""))</f>
        <v/>
      </c>
      <c r="U102" t="str">
        <f>IF(B102="","",IFERROR(_xlfn.XLOOKUP(B102,TableLibrarySigns[Block],TableLibrarySigns[UnitCost]),""))</f>
        <v/>
      </c>
      <c r="V102" t="str">
        <f t="shared" si="9"/>
        <v/>
      </c>
    </row>
    <row r="103" spans="1:22" ht="16.8" customHeight="1">
      <c r="A103" t="str">
        <f t="shared" si="7"/>
        <v/>
      </c>
      <c r="D103" s="2"/>
      <c r="E103" s="6" t="str">
        <f>IF(SignsTable[[#This Row],[PKValue]]="","",IF(D103="","",INT(D103/1000)&amp;"+"&amp;TEXT(MOD(D103,1000),"000.00")))</f>
        <v/>
      </c>
      <c r="J103" t="str">
        <f>IF(B103="","",IFERROR(_xlfn.XLOOKUP(B103,TableLibrarySigns[Block],TableLibrarySigns[Material]),""))</f>
        <v/>
      </c>
      <c r="K103" t="str">
        <f>IF(B103="","",IFERROR(_xlfn.XLOOKUP(B103,TableLibrarySigns[Block],TableLibrarySigns[RotationMode]),""))</f>
        <v/>
      </c>
      <c r="L103" t="str">
        <f>IF(B103="","",IFERROR(_xlfn.XLOOKUP(B103,TableLibrarySigns[Block],TableLibrarySigns[Layer]),""))</f>
        <v/>
      </c>
      <c r="M103" t="str">
        <f>IF(B103="","",IFERROR(_xlfn.XLOOKUP(B103,TableLibrarySigns[Block],TableLibrarySigns[DWGName]),""))</f>
        <v/>
      </c>
      <c r="N103" t="str">
        <f>IF(B103="","",IFERROR(_xlfn.XLOOKUP(B103,TableLibrarySigns[Block],TableLibrarySigns[SignCode]),""))</f>
        <v/>
      </c>
      <c r="O103" t="str">
        <f>IF(B103="","",IFERROR(_xlfn.XLOOKUP(B103,TableLibrarySigns[Block],TableLibrarySigns[IFCEntity]),""))</f>
        <v/>
      </c>
      <c r="P103" t="str">
        <f>IF(B103="","",IFERROR(_xlfn.XLOOKUP(B103,TableLibrarySigns[Block],TableLibrarySigns[Category]),""))</f>
        <v/>
      </c>
      <c r="Q103" t="str">
        <f>IF(B103="","",IFERROR(_xlfn.XLOOKUP(B103,TableLibrarySigns[Block],TableLibrarySigns[Normative]),""))</f>
        <v/>
      </c>
      <c r="R103" t="str">
        <f>IF(B103="","",IFERROR(_xlfn.XLOOKUP(B103,TableLibrarySigns[Block],TableLibrarySigns[Description]),""))</f>
        <v/>
      </c>
      <c r="S103" t="str">
        <f t="shared" si="8"/>
        <v/>
      </c>
      <c r="T103" t="str">
        <f>IF(B103="","",IFERROR(_xlfn.XLOOKUP(B103,TableLibrarySigns[Block],TableLibrarySigns[UnitTime]),""))</f>
        <v/>
      </c>
      <c r="U103" t="str">
        <f>IF(B103="","",IFERROR(_xlfn.XLOOKUP(B103,TableLibrarySigns[Block],TableLibrarySigns[UnitCost]),""))</f>
        <v/>
      </c>
      <c r="V103" t="str">
        <f t="shared" si="9"/>
        <v/>
      </c>
    </row>
    <row r="104" spans="1:22" ht="16.8" customHeight="1">
      <c r="A104" t="str">
        <f t="shared" si="7"/>
        <v/>
      </c>
      <c r="D104" s="2"/>
      <c r="E104" s="6" t="str">
        <f>IF(SignsTable[[#This Row],[PKValue]]="","",IF(D104="","",INT(D104/1000)&amp;"+"&amp;TEXT(MOD(D104,1000),"000.00")))</f>
        <v/>
      </c>
      <c r="J104" t="str">
        <f>IF(B104="","",IFERROR(_xlfn.XLOOKUP(B104,TableLibrarySigns[Block],TableLibrarySigns[Material]),""))</f>
        <v/>
      </c>
      <c r="K104" t="str">
        <f>IF(B104="","",IFERROR(_xlfn.XLOOKUP(B104,TableLibrarySigns[Block],TableLibrarySigns[RotationMode]),""))</f>
        <v/>
      </c>
      <c r="L104" t="str">
        <f>IF(B104="","",IFERROR(_xlfn.XLOOKUP(B104,TableLibrarySigns[Block],TableLibrarySigns[Layer]),""))</f>
        <v/>
      </c>
      <c r="M104" t="str">
        <f>IF(B104="","",IFERROR(_xlfn.XLOOKUP(B104,TableLibrarySigns[Block],TableLibrarySigns[DWGName]),""))</f>
        <v/>
      </c>
      <c r="N104" t="str">
        <f>IF(B104="","",IFERROR(_xlfn.XLOOKUP(B104,TableLibrarySigns[Block],TableLibrarySigns[SignCode]),""))</f>
        <v/>
      </c>
      <c r="O104" t="str">
        <f>IF(B104="","",IFERROR(_xlfn.XLOOKUP(B104,TableLibrarySigns[Block],TableLibrarySigns[IFCEntity]),""))</f>
        <v/>
      </c>
      <c r="P104" t="str">
        <f>IF(B104="","",IFERROR(_xlfn.XLOOKUP(B104,TableLibrarySigns[Block],TableLibrarySigns[Category]),""))</f>
        <v/>
      </c>
      <c r="Q104" t="str">
        <f>IF(B104="","",IFERROR(_xlfn.XLOOKUP(B104,TableLibrarySigns[Block],TableLibrarySigns[Normative]),""))</f>
        <v/>
      </c>
      <c r="R104" t="str">
        <f>IF(B104="","",IFERROR(_xlfn.XLOOKUP(B104,TableLibrarySigns[Block],TableLibrarySigns[Description]),""))</f>
        <v/>
      </c>
      <c r="S104" t="str">
        <f t="shared" si="8"/>
        <v/>
      </c>
      <c r="T104" t="str">
        <f>IF(B104="","",IFERROR(_xlfn.XLOOKUP(B104,TableLibrarySigns[Block],TableLibrarySigns[UnitTime]),""))</f>
        <v/>
      </c>
      <c r="U104" t="str">
        <f>IF(B104="","",IFERROR(_xlfn.XLOOKUP(B104,TableLibrarySigns[Block],TableLibrarySigns[UnitCost]),""))</f>
        <v/>
      </c>
      <c r="V104" t="str">
        <f t="shared" si="9"/>
        <v/>
      </c>
    </row>
    <row r="105" spans="1:22" ht="16.8" customHeight="1">
      <c r="A105" t="str">
        <f t="shared" si="7"/>
        <v/>
      </c>
      <c r="D105" s="2"/>
      <c r="E105" s="6" t="str">
        <f>IF(SignsTable[[#This Row],[PKValue]]="","",IF(D105="","",INT(D105/1000)&amp;"+"&amp;TEXT(MOD(D105,1000),"000.00")))</f>
        <v/>
      </c>
      <c r="J105" t="str">
        <f>IF(B105="","",IFERROR(_xlfn.XLOOKUP(B105,TableLibrarySigns[Block],TableLibrarySigns[Material]),""))</f>
        <v/>
      </c>
      <c r="K105" t="str">
        <f>IF(B105="","",IFERROR(_xlfn.XLOOKUP(B105,TableLibrarySigns[Block],TableLibrarySigns[RotationMode]),""))</f>
        <v/>
      </c>
      <c r="L105" t="str">
        <f>IF(B105="","",IFERROR(_xlfn.XLOOKUP(B105,TableLibrarySigns[Block],TableLibrarySigns[Layer]),""))</f>
        <v/>
      </c>
      <c r="M105" t="str">
        <f>IF(B105="","",IFERROR(_xlfn.XLOOKUP(B105,TableLibrarySigns[Block],TableLibrarySigns[DWGName]),""))</f>
        <v/>
      </c>
      <c r="N105" t="str">
        <f>IF(B105="","",IFERROR(_xlfn.XLOOKUP(B105,TableLibrarySigns[Block],TableLibrarySigns[SignCode]),""))</f>
        <v/>
      </c>
      <c r="O105" t="str">
        <f>IF(B105="","",IFERROR(_xlfn.XLOOKUP(B105,TableLibrarySigns[Block],TableLibrarySigns[IFCEntity]),""))</f>
        <v/>
      </c>
      <c r="P105" t="str">
        <f>IF(B105="","",IFERROR(_xlfn.XLOOKUP(B105,TableLibrarySigns[Block],TableLibrarySigns[Category]),""))</f>
        <v/>
      </c>
      <c r="Q105" t="str">
        <f>IF(B105="","",IFERROR(_xlfn.XLOOKUP(B105,TableLibrarySigns[Block],TableLibrarySigns[Normative]),""))</f>
        <v/>
      </c>
      <c r="R105" t="str">
        <f>IF(B105="","",IFERROR(_xlfn.XLOOKUP(B105,TableLibrarySigns[Block],TableLibrarySigns[Description]),""))</f>
        <v/>
      </c>
      <c r="S105" t="str">
        <f t="shared" si="8"/>
        <v/>
      </c>
      <c r="T105" t="str">
        <f>IF(B105="","",IFERROR(_xlfn.XLOOKUP(B105,TableLibrarySigns[Block],TableLibrarySigns[UnitTime]),""))</f>
        <v/>
      </c>
      <c r="U105" t="str">
        <f>IF(B105="","",IFERROR(_xlfn.XLOOKUP(B105,TableLibrarySigns[Block],TableLibrarySigns[UnitCost]),""))</f>
        <v/>
      </c>
      <c r="V105" t="str">
        <f t="shared" si="9"/>
        <v/>
      </c>
    </row>
    <row r="106" spans="1:22" ht="16.8" customHeight="1">
      <c r="A106" t="str">
        <f t="shared" si="7"/>
        <v/>
      </c>
      <c r="D106" s="2"/>
      <c r="E106" s="6" t="str">
        <f>IF(SignsTable[[#This Row],[PKValue]]="","",IF(D106="","",INT(D106/1000)&amp;"+"&amp;TEXT(MOD(D106,1000),"000.00")))</f>
        <v/>
      </c>
      <c r="J106" t="str">
        <f>IF(B106="","",IFERROR(_xlfn.XLOOKUP(B106,TableLibrarySigns[Block],TableLibrarySigns[Material]),""))</f>
        <v/>
      </c>
      <c r="K106" t="str">
        <f>IF(B106="","",IFERROR(_xlfn.XLOOKUP(B106,TableLibrarySigns[Block],TableLibrarySigns[RotationMode]),""))</f>
        <v/>
      </c>
      <c r="L106" t="str">
        <f>IF(B106="","",IFERROR(_xlfn.XLOOKUP(B106,TableLibrarySigns[Block],TableLibrarySigns[Layer]),""))</f>
        <v/>
      </c>
      <c r="M106" t="str">
        <f>IF(B106="","",IFERROR(_xlfn.XLOOKUP(B106,TableLibrarySigns[Block],TableLibrarySigns[DWGName]),""))</f>
        <v/>
      </c>
      <c r="N106" t="str">
        <f>IF(B106="","",IFERROR(_xlfn.XLOOKUP(B106,TableLibrarySigns[Block],TableLibrarySigns[SignCode]),""))</f>
        <v/>
      </c>
      <c r="O106" t="str">
        <f>IF(B106="","",IFERROR(_xlfn.XLOOKUP(B106,TableLibrarySigns[Block],TableLibrarySigns[IFCEntity]),""))</f>
        <v/>
      </c>
      <c r="P106" t="str">
        <f>IF(B106="","",IFERROR(_xlfn.XLOOKUP(B106,TableLibrarySigns[Block],TableLibrarySigns[Category]),""))</f>
        <v/>
      </c>
      <c r="Q106" t="str">
        <f>IF(B106="","",IFERROR(_xlfn.XLOOKUP(B106,TableLibrarySigns[Block],TableLibrarySigns[Normative]),""))</f>
        <v/>
      </c>
      <c r="R106" t="str">
        <f>IF(B106="","",IFERROR(_xlfn.XLOOKUP(B106,TableLibrarySigns[Block],TableLibrarySigns[Description]),""))</f>
        <v/>
      </c>
      <c r="S106" t="str">
        <f t="shared" si="8"/>
        <v/>
      </c>
      <c r="T106" t="str">
        <f>IF(B106="","",IFERROR(_xlfn.XLOOKUP(B106,TableLibrarySigns[Block],TableLibrarySigns[UnitTime]),""))</f>
        <v/>
      </c>
      <c r="U106" t="str">
        <f>IF(B106="","",IFERROR(_xlfn.XLOOKUP(B106,TableLibrarySigns[Block],TableLibrarySigns[UnitCost]),""))</f>
        <v/>
      </c>
      <c r="V106" t="str">
        <f t="shared" si="9"/>
        <v/>
      </c>
    </row>
    <row r="107" spans="1:22" ht="16.8" customHeight="1">
      <c r="A107" t="str">
        <f t="shared" si="7"/>
        <v/>
      </c>
      <c r="D107" s="2"/>
      <c r="E107" s="6" t="str">
        <f>IF(SignsTable[[#This Row],[PKValue]]="","",IF(D107="","",INT(D107/1000)&amp;"+"&amp;TEXT(MOD(D107,1000),"000.00")))</f>
        <v/>
      </c>
      <c r="J107" t="str">
        <f>IF(B107="","",IFERROR(_xlfn.XLOOKUP(B107,TableLibrarySigns[Block],TableLibrarySigns[Material]),""))</f>
        <v/>
      </c>
      <c r="K107" t="str">
        <f>IF(B107="","",IFERROR(_xlfn.XLOOKUP(B107,TableLibrarySigns[Block],TableLibrarySigns[RotationMode]),""))</f>
        <v/>
      </c>
      <c r="L107" t="str">
        <f>IF(B107="","",IFERROR(_xlfn.XLOOKUP(B107,TableLibrarySigns[Block],TableLibrarySigns[Layer]),""))</f>
        <v/>
      </c>
      <c r="M107" t="str">
        <f>IF(B107="","",IFERROR(_xlfn.XLOOKUP(B107,TableLibrarySigns[Block],TableLibrarySigns[DWGName]),""))</f>
        <v/>
      </c>
      <c r="N107" t="str">
        <f>IF(B107="","",IFERROR(_xlfn.XLOOKUP(B107,TableLibrarySigns[Block],TableLibrarySigns[SignCode]),""))</f>
        <v/>
      </c>
      <c r="O107" t="str">
        <f>IF(B107="","",IFERROR(_xlfn.XLOOKUP(B107,TableLibrarySigns[Block],TableLibrarySigns[IFCEntity]),""))</f>
        <v/>
      </c>
      <c r="P107" t="str">
        <f>IF(B107="","",IFERROR(_xlfn.XLOOKUP(B107,TableLibrarySigns[Block],TableLibrarySigns[Category]),""))</f>
        <v/>
      </c>
      <c r="Q107" t="str">
        <f>IF(B107="","",IFERROR(_xlfn.XLOOKUP(B107,TableLibrarySigns[Block],TableLibrarySigns[Normative]),""))</f>
        <v/>
      </c>
      <c r="R107" t="str">
        <f>IF(B107="","",IFERROR(_xlfn.XLOOKUP(B107,TableLibrarySigns[Block],TableLibrarySigns[Description]),""))</f>
        <v/>
      </c>
      <c r="S107" t="str">
        <f t="shared" si="8"/>
        <v/>
      </c>
      <c r="T107" t="str">
        <f>IF(B107="","",IFERROR(_xlfn.XLOOKUP(B107,TableLibrarySigns[Block],TableLibrarySigns[UnitTime]),""))</f>
        <v/>
      </c>
      <c r="U107" t="str">
        <f>IF(B107="","",IFERROR(_xlfn.XLOOKUP(B107,TableLibrarySigns[Block],TableLibrarySigns[UnitCost]),""))</f>
        <v/>
      </c>
      <c r="V107" t="str">
        <f t="shared" si="9"/>
        <v/>
      </c>
    </row>
    <row r="108" spans="1:22" ht="16.8" customHeight="1">
      <c r="A108" t="str">
        <f t="shared" si="7"/>
        <v/>
      </c>
      <c r="D108" s="2"/>
      <c r="E108" s="6" t="str">
        <f>IF(SignsTable[[#This Row],[PKValue]]="","",IF(D108="","",INT(D108/1000)&amp;"+"&amp;TEXT(MOD(D108,1000),"000.00")))</f>
        <v/>
      </c>
      <c r="J108" t="str">
        <f>IF(B108="","",IFERROR(_xlfn.XLOOKUP(B108,TableLibrarySigns[Block],TableLibrarySigns[Material]),""))</f>
        <v/>
      </c>
      <c r="K108" t="str">
        <f>IF(B108="","",IFERROR(_xlfn.XLOOKUP(B108,TableLibrarySigns[Block],TableLibrarySigns[RotationMode]),""))</f>
        <v/>
      </c>
      <c r="L108" t="str">
        <f>IF(B108="","",IFERROR(_xlfn.XLOOKUP(B108,TableLibrarySigns[Block],TableLibrarySigns[Layer]),""))</f>
        <v/>
      </c>
      <c r="M108" t="str">
        <f>IF(B108="","",IFERROR(_xlfn.XLOOKUP(B108,TableLibrarySigns[Block],TableLibrarySigns[DWGName]),""))</f>
        <v/>
      </c>
      <c r="N108" t="str">
        <f>IF(B108="","",IFERROR(_xlfn.XLOOKUP(B108,TableLibrarySigns[Block],TableLibrarySigns[SignCode]),""))</f>
        <v/>
      </c>
      <c r="O108" t="str">
        <f>IF(B108="","",IFERROR(_xlfn.XLOOKUP(B108,TableLibrarySigns[Block],TableLibrarySigns[IFCEntity]),""))</f>
        <v/>
      </c>
      <c r="P108" t="str">
        <f>IF(B108="","",IFERROR(_xlfn.XLOOKUP(B108,TableLibrarySigns[Block],TableLibrarySigns[Category]),""))</f>
        <v/>
      </c>
      <c r="Q108" t="str">
        <f>IF(B108="","",IFERROR(_xlfn.XLOOKUP(B108,TableLibrarySigns[Block],TableLibrarySigns[Normative]),""))</f>
        <v/>
      </c>
      <c r="R108" t="str">
        <f>IF(B108="","",IFERROR(_xlfn.XLOOKUP(B108,TableLibrarySigns[Block],TableLibrarySigns[Description]),""))</f>
        <v/>
      </c>
      <c r="S108" t="str">
        <f t="shared" si="8"/>
        <v/>
      </c>
      <c r="T108" t="str">
        <f>IF(B108="","",IFERROR(_xlfn.XLOOKUP(B108,TableLibrarySigns[Block],TableLibrarySigns[UnitTime]),""))</f>
        <v/>
      </c>
      <c r="U108" t="str">
        <f>IF(B108="","",IFERROR(_xlfn.XLOOKUP(B108,TableLibrarySigns[Block],TableLibrarySigns[UnitCost]),""))</f>
        <v/>
      </c>
      <c r="V108" t="str">
        <f t="shared" si="9"/>
        <v/>
      </c>
    </row>
    <row r="109" spans="1:22" ht="16.8" customHeight="1">
      <c r="A109" t="str">
        <f t="shared" si="7"/>
        <v/>
      </c>
      <c r="D109" s="2"/>
      <c r="E109" s="6" t="str">
        <f>IF(SignsTable[[#This Row],[PKValue]]="","",IF(D109="","",INT(D109/1000)&amp;"+"&amp;TEXT(MOD(D109,1000),"000.00")))</f>
        <v/>
      </c>
      <c r="J109" t="str">
        <f>IF(B109="","",IFERROR(_xlfn.XLOOKUP(B109,TableLibrarySigns[Block],TableLibrarySigns[Material]),""))</f>
        <v/>
      </c>
      <c r="K109" t="str">
        <f>IF(B109="","",IFERROR(_xlfn.XLOOKUP(B109,TableLibrarySigns[Block],TableLibrarySigns[RotationMode]),""))</f>
        <v/>
      </c>
      <c r="L109" t="str">
        <f>IF(B109="","",IFERROR(_xlfn.XLOOKUP(B109,TableLibrarySigns[Block],TableLibrarySigns[Layer]),""))</f>
        <v/>
      </c>
      <c r="M109" t="str">
        <f>IF(B109="","",IFERROR(_xlfn.XLOOKUP(B109,TableLibrarySigns[Block],TableLibrarySigns[DWGName]),""))</f>
        <v/>
      </c>
      <c r="N109" t="str">
        <f>IF(B109="","",IFERROR(_xlfn.XLOOKUP(B109,TableLibrarySigns[Block],TableLibrarySigns[SignCode]),""))</f>
        <v/>
      </c>
      <c r="O109" t="str">
        <f>IF(B109="","",IFERROR(_xlfn.XLOOKUP(B109,TableLibrarySigns[Block],TableLibrarySigns[IFCEntity]),""))</f>
        <v/>
      </c>
      <c r="P109" t="str">
        <f>IF(B109="","",IFERROR(_xlfn.XLOOKUP(B109,TableLibrarySigns[Block],TableLibrarySigns[Category]),""))</f>
        <v/>
      </c>
      <c r="Q109" t="str">
        <f>IF(B109="","",IFERROR(_xlfn.XLOOKUP(B109,TableLibrarySigns[Block],TableLibrarySigns[Normative]),""))</f>
        <v/>
      </c>
      <c r="R109" t="str">
        <f>IF(B109="","",IFERROR(_xlfn.XLOOKUP(B109,TableLibrarySigns[Block],TableLibrarySigns[Description]),""))</f>
        <v/>
      </c>
      <c r="S109" t="str">
        <f t="shared" si="8"/>
        <v/>
      </c>
      <c r="T109" t="str">
        <f>IF(B109="","",IFERROR(_xlfn.XLOOKUP(B109,TableLibrarySigns[Block],TableLibrarySigns[UnitTime]),""))</f>
        <v/>
      </c>
      <c r="U109" t="str">
        <f>IF(B109="","",IFERROR(_xlfn.XLOOKUP(B109,TableLibrarySigns[Block],TableLibrarySigns[UnitCost]),""))</f>
        <v/>
      </c>
      <c r="V109" t="str">
        <f t="shared" si="9"/>
        <v/>
      </c>
    </row>
    <row r="110" spans="1:22" ht="16.8" customHeight="1">
      <c r="A110" t="str">
        <f t="shared" si="7"/>
        <v/>
      </c>
      <c r="D110" s="2"/>
      <c r="E110" s="6" t="str">
        <f>IF(SignsTable[[#This Row],[PKValue]]="","",IF(D110="","",INT(D110/1000)&amp;"+"&amp;TEXT(MOD(D110,1000),"000.00")))</f>
        <v/>
      </c>
      <c r="J110" t="str">
        <f>IF(B110="","",IFERROR(_xlfn.XLOOKUP(B110,TableLibrarySigns[Block],TableLibrarySigns[Material]),""))</f>
        <v/>
      </c>
      <c r="K110" t="str">
        <f>IF(B110="","",IFERROR(_xlfn.XLOOKUP(B110,TableLibrarySigns[Block],TableLibrarySigns[RotationMode]),""))</f>
        <v/>
      </c>
      <c r="L110" t="str">
        <f>IF(B110="","",IFERROR(_xlfn.XLOOKUP(B110,TableLibrarySigns[Block],TableLibrarySigns[Layer]),""))</f>
        <v/>
      </c>
      <c r="M110" t="str">
        <f>IF(B110="","",IFERROR(_xlfn.XLOOKUP(B110,TableLibrarySigns[Block],TableLibrarySigns[DWGName]),""))</f>
        <v/>
      </c>
      <c r="N110" t="str">
        <f>IF(B110="","",IFERROR(_xlfn.XLOOKUP(B110,TableLibrarySigns[Block],TableLibrarySigns[SignCode]),""))</f>
        <v/>
      </c>
      <c r="O110" t="str">
        <f>IF(B110="","",IFERROR(_xlfn.XLOOKUP(B110,TableLibrarySigns[Block],TableLibrarySigns[IFCEntity]),""))</f>
        <v/>
      </c>
      <c r="P110" t="str">
        <f>IF(B110="","",IFERROR(_xlfn.XLOOKUP(B110,TableLibrarySigns[Block],TableLibrarySigns[Category]),""))</f>
        <v/>
      </c>
      <c r="Q110" t="str">
        <f>IF(B110="","",IFERROR(_xlfn.XLOOKUP(B110,TableLibrarySigns[Block],TableLibrarySigns[Normative]),""))</f>
        <v/>
      </c>
      <c r="R110" t="str">
        <f>IF(B110="","",IFERROR(_xlfn.XLOOKUP(B110,TableLibrarySigns[Block],TableLibrarySigns[Description]),""))</f>
        <v/>
      </c>
      <c r="S110" t="str">
        <f t="shared" si="8"/>
        <v/>
      </c>
      <c r="T110" t="str">
        <f>IF(B110="","",IFERROR(_xlfn.XLOOKUP(B110,TableLibrarySigns[Block],TableLibrarySigns[UnitTime]),""))</f>
        <v/>
      </c>
      <c r="U110" t="str">
        <f>IF(B110="","",IFERROR(_xlfn.XLOOKUP(B110,TableLibrarySigns[Block],TableLibrarySigns[UnitCost]),""))</f>
        <v/>
      </c>
      <c r="V110" t="str">
        <f t="shared" si="9"/>
        <v/>
      </c>
    </row>
    <row r="111" spans="1:22" ht="16.8" customHeight="1">
      <c r="A111" t="str">
        <f t="shared" si="7"/>
        <v/>
      </c>
      <c r="D111" s="2"/>
      <c r="E111" s="6" t="str">
        <f>IF(SignsTable[[#This Row],[PKValue]]="","",IF(D111="","",INT(D111/1000)&amp;"+"&amp;TEXT(MOD(D111,1000),"000.00")))</f>
        <v/>
      </c>
      <c r="J111" t="str">
        <f>IF(B111="","",IFERROR(_xlfn.XLOOKUP(B111,TableLibrarySigns[Block],TableLibrarySigns[Material]),""))</f>
        <v/>
      </c>
      <c r="K111" t="str">
        <f>IF(B111="","",IFERROR(_xlfn.XLOOKUP(B111,TableLibrarySigns[Block],TableLibrarySigns[RotationMode]),""))</f>
        <v/>
      </c>
      <c r="L111" t="str">
        <f>IF(B111="","",IFERROR(_xlfn.XLOOKUP(B111,TableLibrarySigns[Block],TableLibrarySigns[Layer]),""))</f>
        <v/>
      </c>
      <c r="M111" t="str">
        <f>IF(B111="","",IFERROR(_xlfn.XLOOKUP(B111,TableLibrarySigns[Block],TableLibrarySigns[DWGName]),""))</f>
        <v/>
      </c>
      <c r="N111" t="str">
        <f>IF(B111="","",IFERROR(_xlfn.XLOOKUP(B111,TableLibrarySigns[Block],TableLibrarySigns[SignCode]),""))</f>
        <v/>
      </c>
      <c r="O111" t="str">
        <f>IF(B111="","",IFERROR(_xlfn.XLOOKUP(B111,TableLibrarySigns[Block],TableLibrarySigns[IFCEntity]),""))</f>
        <v/>
      </c>
      <c r="P111" t="str">
        <f>IF(B111="","",IFERROR(_xlfn.XLOOKUP(B111,TableLibrarySigns[Block],TableLibrarySigns[Category]),""))</f>
        <v/>
      </c>
      <c r="Q111" t="str">
        <f>IF(B111="","",IFERROR(_xlfn.XLOOKUP(B111,TableLibrarySigns[Block],TableLibrarySigns[Normative]),""))</f>
        <v/>
      </c>
      <c r="R111" t="str">
        <f>IF(B111="","",IFERROR(_xlfn.XLOOKUP(B111,TableLibrarySigns[Block],TableLibrarySigns[Description]),""))</f>
        <v/>
      </c>
      <c r="S111" t="str">
        <f t="shared" si="8"/>
        <v/>
      </c>
      <c r="T111" t="str">
        <f>IF(B111="","",IFERROR(_xlfn.XLOOKUP(B111,TableLibrarySigns[Block],TableLibrarySigns[UnitTime]),""))</f>
        <v/>
      </c>
      <c r="U111" t="str">
        <f>IF(B111="","",IFERROR(_xlfn.XLOOKUP(B111,TableLibrarySigns[Block],TableLibrarySigns[UnitCost]),""))</f>
        <v/>
      </c>
      <c r="V111" t="str">
        <f t="shared" si="9"/>
        <v/>
      </c>
    </row>
    <row r="112" spans="1:22" ht="16.8" customHeight="1">
      <c r="A112" t="str">
        <f t="shared" si="7"/>
        <v/>
      </c>
      <c r="D112" s="2"/>
      <c r="E112" s="6" t="str">
        <f>IF(SignsTable[[#This Row],[PKValue]]="","",IF(D112="","",INT(D112/1000)&amp;"+"&amp;TEXT(MOD(D112,1000),"000.00")))</f>
        <v/>
      </c>
      <c r="J112" t="str">
        <f>IF(B112="","",IFERROR(_xlfn.XLOOKUP(B112,TableLibrarySigns[Block],TableLibrarySigns[Material]),""))</f>
        <v/>
      </c>
      <c r="K112" t="str">
        <f>IF(B112="","",IFERROR(_xlfn.XLOOKUP(B112,TableLibrarySigns[Block],TableLibrarySigns[RotationMode]),""))</f>
        <v/>
      </c>
      <c r="L112" t="str">
        <f>IF(B112="","",IFERROR(_xlfn.XLOOKUP(B112,TableLibrarySigns[Block],TableLibrarySigns[Layer]),""))</f>
        <v/>
      </c>
      <c r="M112" t="str">
        <f>IF(B112="","",IFERROR(_xlfn.XLOOKUP(B112,TableLibrarySigns[Block],TableLibrarySigns[DWGName]),""))</f>
        <v/>
      </c>
      <c r="N112" t="str">
        <f>IF(B112="","",IFERROR(_xlfn.XLOOKUP(B112,TableLibrarySigns[Block],TableLibrarySigns[SignCode]),""))</f>
        <v/>
      </c>
      <c r="O112" t="str">
        <f>IF(B112="","",IFERROR(_xlfn.XLOOKUP(B112,TableLibrarySigns[Block],TableLibrarySigns[IFCEntity]),""))</f>
        <v/>
      </c>
      <c r="P112" t="str">
        <f>IF(B112="","",IFERROR(_xlfn.XLOOKUP(B112,TableLibrarySigns[Block],TableLibrarySigns[Category]),""))</f>
        <v/>
      </c>
      <c r="Q112" t="str">
        <f>IF(B112="","",IFERROR(_xlfn.XLOOKUP(B112,TableLibrarySigns[Block],TableLibrarySigns[Normative]),""))</f>
        <v/>
      </c>
      <c r="R112" t="str">
        <f>IF(B112="","",IFERROR(_xlfn.XLOOKUP(B112,TableLibrarySigns[Block],TableLibrarySigns[Description]),""))</f>
        <v/>
      </c>
      <c r="S112" t="str">
        <f t="shared" si="8"/>
        <v/>
      </c>
      <c r="T112" t="str">
        <f>IF(B112="","",IFERROR(_xlfn.XLOOKUP(B112,TableLibrarySigns[Block],TableLibrarySigns[UnitTime]),""))</f>
        <v/>
      </c>
      <c r="U112" t="str">
        <f>IF(B112="","",IFERROR(_xlfn.XLOOKUP(B112,TableLibrarySigns[Block],TableLibrarySigns[UnitCost]),""))</f>
        <v/>
      </c>
      <c r="V112" t="str">
        <f t="shared" si="9"/>
        <v/>
      </c>
    </row>
    <row r="113" spans="1:22" ht="16.8" customHeight="1">
      <c r="A113" t="str">
        <f t="shared" si="7"/>
        <v/>
      </c>
      <c r="D113" s="2"/>
      <c r="E113" s="6" t="str">
        <f>IF(SignsTable[[#This Row],[PKValue]]="","",IF(D113="","",INT(D113/1000)&amp;"+"&amp;TEXT(MOD(D113,1000),"000.00")))</f>
        <v/>
      </c>
      <c r="J113" t="str">
        <f>IF(B113="","",IFERROR(_xlfn.XLOOKUP(B113,TableLibrarySigns[Block],TableLibrarySigns[Material]),""))</f>
        <v/>
      </c>
      <c r="K113" t="str">
        <f>IF(B113="","",IFERROR(_xlfn.XLOOKUP(B113,TableLibrarySigns[Block],TableLibrarySigns[RotationMode]),""))</f>
        <v/>
      </c>
      <c r="L113" t="str">
        <f>IF(B113="","",IFERROR(_xlfn.XLOOKUP(B113,TableLibrarySigns[Block],TableLibrarySigns[Layer]),""))</f>
        <v/>
      </c>
      <c r="M113" t="str">
        <f>IF(B113="","",IFERROR(_xlfn.XLOOKUP(B113,TableLibrarySigns[Block],TableLibrarySigns[DWGName]),""))</f>
        <v/>
      </c>
      <c r="N113" t="str">
        <f>IF(B113="","",IFERROR(_xlfn.XLOOKUP(B113,TableLibrarySigns[Block],TableLibrarySigns[SignCode]),""))</f>
        <v/>
      </c>
      <c r="O113" t="str">
        <f>IF(B113="","",IFERROR(_xlfn.XLOOKUP(B113,TableLibrarySigns[Block],TableLibrarySigns[IFCEntity]),""))</f>
        <v/>
      </c>
      <c r="P113" t="str">
        <f>IF(B113="","",IFERROR(_xlfn.XLOOKUP(B113,TableLibrarySigns[Block],TableLibrarySigns[Category]),""))</f>
        <v/>
      </c>
      <c r="Q113" t="str">
        <f>IF(B113="","",IFERROR(_xlfn.XLOOKUP(B113,TableLibrarySigns[Block],TableLibrarySigns[Normative]),""))</f>
        <v/>
      </c>
      <c r="R113" t="str">
        <f>IF(B113="","",IFERROR(_xlfn.XLOOKUP(B113,TableLibrarySigns[Block],TableLibrarySigns[Description]),""))</f>
        <v/>
      </c>
      <c r="S113" t="str">
        <f t="shared" si="8"/>
        <v/>
      </c>
      <c r="T113" t="str">
        <f>IF(B113="","",IFERROR(_xlfn.XLOOKUP(B113,TableLibrarySigns[Block],TableLibrarySigns[UnitTime]),""))</f>
        <v/>
      </c>
      <c r="U113" t="str">
        <f>IF(B113="","",IFERROR(_xlfn.XLOOKUP(B113,TableLibrarySigns[Block],TableLibrarySigns[UnitCost]),""))</f>
        <v/>
      </c>
      <c r="V113" t="str">
        <f t="shared" si="9"/>
        <v/>
      </c>
    </row>
    <row r="114" spans="1:22" ht="16.8" customHeight="1">
      <c r="A114" t="str">
        <f t="shared" si="7"/>
        <v/>
      </c>
      <c r="D114" s="2"/>
      <c r="E114" s="6" t="str">
        <f>IF(SignsTable[[#This Row],[PKValue]]="","",IF(D114="","",INT(D114/1000)&amp;"+"&amp;TEXT(MOD(D114,1000),"000.00")))</f>
        <v/>
      </c>
      <c r="J114" t="str">
        <f>IF(B114="","",IFERROR(_xlfn.XLOOKUP(B114,TableLibrarySigns[Block],TableLibrarySigns[Material]),""))</f>
        <v/>
      </c>
      <c r="K114" t="str">
        <f>IF(B114="","",IFERROR(_xlfn.XLOOKUP(B114,TableLibrarySigns[Block],TableLibrarySigns[RotationMode]),""))</f>
        <v/>
      </c>
      <c r="L114" t="str">
        <f>IF(B114="","",IFERROR(_xlfn.XLOOKUP(B114,TableLibrarySigns[Block],TableLibrarySigns[Layer]),""))</f>
        <v/>
      </c>
      <c r="M114" t="str">
        <f>IF(B114="","",IFERROR(_xlfn.XLOOKUP(B114,TableLibrarySigns[Block],TableLibrarySigns[DWGName]),""))</f>
        <v/>
      </c>
      <c r="N114" t="str">
        <f>IF(B114="","",IFERROR(_xlfn.XLOOKUP(B114,TableLibrarySigns[Block],TableLibrarySigns[SignCode]),""))</f>
        <v/>
      </c>
      <c r="O114" t="str">
        <f>IF(B114="","",IFERROR(_xlfn.XLOOKUP(B114,TableLibrarySigns[Block],TableLibrarySigns[IFCEntity]),""))</f>
        <v/>
      </c>
      <c r="P114" t="str">
        <f>IF(B114="","",IFERROR(_xlfn.XLOOKUP(B114,TableLibrarySigns[Block],TableLibrarySigns[Category]),""))</f>
        <v/>
      </c>
      <c r="Q114" t="str">
        <f>IF(B114="","",IFERROR(_xlfn.XLOOKUP(B114,TableLibrarySigns[Block],TableLibrarySigns[Normative]),""))</f>
        <v/>
      </c>
      <c r="R114" t="str">
        <f>IF(B114="","",IFERROR(_xlfn.XLOOKUP(B114,TableLibrarySigns[Block],TableLibrarySigns[Description]),""))</f>
        <v/>
      </c>
      <c r="S114" t="str">
        <f t="shared" si="8"/>
        <v/>
      </c>
      <c r="T114" t="str">
        <f>IF(B114="","",IFERROR(_xlfn.XLOOKUP(B114,TableLibrarySigns[Block],TableLibrarySigns[UnitTime]),""))</f>
        <v/>
      </c>
      <c r="U114" t="str">
        <f>IF(B114="","",IFERROR(_xlfn.XLOOKUP(B114,TableLibrarySigns[Block],TableLibrarySigns[UnitCost]),""))</f>
        <v/>
      </c>
      <c r="V114" t="str">
        <f t="shared" si="9"/>
        <v/>
      </c>
    </row>
    <row r="115" spans="1:22" ht="16.8" customHeight="1">
      <c r="A115" t="str">
        <f t="shared" si="7"/>
        <v/>
      </c>
      <c r="D115" s="2"/>
      <c r="E115" s="6" t="str">
        <f>IF(SignsTable[[#This Row],[PKValue]]="","",IF(D115="","",INT(D115/1000)&amp;"+"&amp;TEXT(MOD(D115,1000),"000.00")))</f>
        <v/>
      </c>
      <c r="J115" t="str">
        <f>IF(B115="","",IFERROR(_xlfn.XLOOKUP(B115,TableLibrarySigns[Block],TableLibrarySigns[Material]),""))</f>
        <v/>
      </c>
      <c r="K115" t="str">
        <f>IF(B115="","",IFERROR(_xlfn.XLOOKUP(B115,TableLibrarySigns[Block],TableLibrarySigns[RotationMode]),""))</f>
        <v/>
      </c>
      <c r="L115" t="str">
        <f>IF(B115="","",IFERROR(_xlfn.XLOOKUP(B115,TableLibrarySigns[Block],TableLibrarySigns[Layer]),""))</f>
        <v/>
      </c>
      <c r="M115" t="str">
        <f>IF(B115="","",IFERROR(_xlfn.XLOOKUP(B115,TableLibrarySigns[Block],TableLibrarySigns[DWGName]),""))</f>
        <v/>
      </c>
      <c r="N115" t="str">
        <f>IF(B115="","",IFERROR(_xlfn.XLOOKUP(B115,TableLibrarySigns[Block],TableLibrarySigns[SignCode]),""))</f>
        <v/>
      </c>
      <c r="O115" t="str">
        <f>IF(B115="","",IFERROR(_xlfn.XLOOKUP(B115,TableLibrarySigns[Block],TableLibrarySigns[IFCEntity]),""))</f>
        <v/>
      </c>
      <c r="P115" t="str">
        <f>IF(B115="","",IFERROR(_xlfn.XLOOKUP(B115,TableLibrarySigns[Block],TableLibrarySigns[Category]),""))</f>
        <v/>
      </c>
      <c r="Q115" t="str">
        <f>IF(B115="","",IFERROR(_xlfn.XLOOKUP(B115,TableLibrarySigns[Block],TableLibrarySigns[Normative]),""))</f>
        <v/>
      </c>
      <c r="R115" t="str">
        <f>IF(B115="","",IFERROR(_xlfn.XLOOKUP(B115,TableLibrarySigns[Block],TableLibrarySigns[Description]),""))</f>
        <v/>
      </c>
      <c r="S115" t="str">
        <f t="shared" si="8"/>
        <v/>
      </c>
      <c r="T115" t="str">
        <f>IF(B115="","",IFERROR(_xlfn.XLOOKUP(B115,TableLibrarySigns[Block],TableLibrarySigns[UnitTime]),""))</f>
        <v/>
      </c>
      <c r="U115" t="str">
        <f>IF(B115="","",IFERROR(_xlfn.XLOOKUP(B115,TableLibrarySigns[Block],TableLibrarySigns[UnitCost]),""))</f>
        <v/>
      </c>
      <c r="V115" t="str">
        <f t="shared" si="9"/>
        <v/>
      </c>
    </row>
    <row r="116" spans="1:22" ht="16.8" customHeight="1">
      <c r="A116" t="str">
        <f t="shared" si="7"/>
        <v/>
      </c>
      <c r="D116" s="2"/>
      <c r="E116" s="6" t="str">
        <f>IF(SignsTable[[#This Row],[PKValue]]="","",IF(D116="","",INT(D116/1000)&amp;"+"&amp;TEXT(MOD(D116,1000),"000.00")))</f>
        <v/>
      </c>
      <c r="J116" t="str">
        <f>IF(B116="","",IFERROR(_xlfn.XLOOKUP(B116,TableLibrarySigns[Block],TableLibrarySigns[Material]),""))</f>
        <v/>
      </c>
      <c r="K116" t="str">
        <f>IF(B116="","",IFERROR(_xlfn.XLOOKUP(B116,TableLibrarySigns[Block],TableLibrarySigns[RotationMode]),""))</f>
        <v/>
      </c>
      <c r="L116" t="str">
        <f>IF(B116="","",IFERROR(_xlfn.XLOOKUP(B116,TableLibrarySigns[Block],TableLibrarySigns[Layer]),""))</f>
        <v/>
      </c>
      <c r="M116" t="str">
        <f>IF(B116="","",IFERROR(_xlfn.XLOOKUP(B116,TableLibrarySigns[Block],TableLibrarySigns[DWGName]),""))</f>
        <v/>
      </c>
      <c r="N116" t="str">
        <f>IF(B116="","",IFERROR(_xlfn.XLOOKUP(B116,TableLibrarySigns[Block],TableLibrarySigns[SignCode]),""))</f>
        <v/>
      </c>
      <c r="O116" t="str">
        <f>IF(B116="","",IFERROR(_xlfn.XLOOKUP(B116,TableLibrarySigns[Block],TableLibrarySigns[IFCEntity]),""))</f>
        <v/>
      </c>
      <c r="P116" t="str">
        <f>IF(B116="","",IFERROR(_xlfn.XLOOKUP(B116,TableLibrarySigns[Block],TableLibrarySigns[Category]),""))</f>
        <v/>
      </c>
      <c r="Q116" t="str">
        <f>IF(B116="","",IFERROR(_xlfn.XLOOKUP(B116,TableLibrarySigns[Block],TableLibrarySigns[Normative]),""))</f>
        <v/>
      </c>
      <c r="R116" t="str">
        <f>IF(B116="","",IFERROR(_xlfn.XLOOKUP(B116,TableLibrarySigns[Block],TableLibrarySigns[Description]),""))</f>
        <v/>
      </c>
      <c r="S116" t="str">
        <f t="shared" si="8"/>
        <v/>
      </c>
      <c r="T116" t="str">
        <f>IF(B116="","",IFERROR(_xlfn.XLOOKUP(B116,TableLibrarySigns[Block],TableLibrarySigns[UnitTime]),""))</f>
        <v/>
      </c>
      <c r="U116" t="str">
        <f>IF(B116="","",IFERROR(_xlfn.XLOOKUP(B116,TableLibrarySigns[Block],TableLibrarySigns[UnitCost]),""))</f>
        <v/>
      </c>
      <c r="V116" t="str">
        <f t="shared" si="9"/>
        <v/>
      </c>
    </row>
    <row r="117" spans="1:22" ht="16.8" customHeight="1">
      <c r="A117" t="str">
        <f t="shared" si="7"/>
        <v/>
      </c>
      <c r="D117" s="2"/>
      <c r="E117" s="6" t="str">
        <f>IF(SignsTable[[#This Row],[PKValue]]="","",IF(D117="","",INT(D117/1000)&amp;"+"&amp;TEXT(MOD(D117,1000),"000.00")))</f>
        <v/>
      </c>
      <c r="J117" t="str">
        <f>IF(B117="","",IFERROR(_xlfn.XLOOKUP(B117,TableLibrarySigns[Block],TableLibrarySigns[Material]),""))</f>
        <v/>
      </c>
      <c r="K117" t="str">
        <f>IF(B117="","",IFERROR(_xlfn.XLOOKUP(B117,TableLibrarySigns[Block],TableLibrarySigns[RotationMode]),""))</f>
        <v/>
      </c>
      <c r="L117" t="str">
        <f>IF(B117="","",IFERROR(_xlfn.XLOOKUP(B117,TableLibrarySigns[Block],TableLibrarySigns[Layer]),""))</f>
        <v/>
      </c>
      <c r="M117" t="str">
        <f>IF(B117="","",IFERROR(_xlfn.XLOOKUP(B117,TableLibrarySigns[Block],TableLibrarySigns[DWGName]),""))</f>
        <v/>
      </c>
      <c r="N117" t="str">
        <f>IF(B117="","",IFERROR(_xlfn.XLOOKUP(B117,TableLibrarySigns[Block],TableLibrarySigns[SignCode]),""))</f>
        <v/>
      </c>
      <c r="O117" t="str">
        <f>IF(B117="","",IFERROR(_xlfn.XLOOKUP(B117,TableLibrarySigns[Block],TableLibrarySigns[IFCEntity]),""))</f>
        <v/>
      </c>
      <c r="P117" t="str">
        <f>IF(B117="","",IFERROR(_xlfn.XLOOKUP(B117,TableLibrarySigns[Block],TableLibrarySigns[Category]),""))</f>
        <v/>
      </c>
      <c r="Q117" t="str">
        <f>IF(B117="","",IFERROR(_xlfn.XLOOKUP(B117,TableLibrarySigns[Block],TableLibrarySigns[Normative]),""))</f>
        <v/>
      </c>
      <c r="R117" t="str">
        <f>IF(B117="","",IFERROR(_xlfn.XLOOKUP(B117,TableLibrarySigns[Block],TableLibrarySigns[Description]),""))</f>
        <v/>
      </c>
      <c r="S117" t="str">
        <f t="shared" si="8"/>
        <v/>
      </c>
      <c r="T117" t="str">
        <f>IF(B117="","",IFERROR(_xlfn.XLOOKUP(B117,TableLibrarySigns[Block],TableLibrarySigns[UnitTime]),""))</f>
        <v/>
      </c>
      <c r="U117" t="str">
        <f>IF(B117="","",IFERROR(_xlfn.XLOOKUP(B117,TableLibrarySigns[Block],TableLibrarySigns[UnitCost]),""))</f>
        <v/>
      </c>
      <c r="V117" t="str">
        <f t="shared" si="9"/>
        <v/>
      </c>
    </row>
    <row r="118" spans="1:22" ht="16.8" customHeight="1">
      <c r="A118" t="str">
        <f t="shared" si="7"/>
        <v/>
      </c>
      <c r="D118" s="2"/>
      <c r="E118" s="6" t="str">
        <f>IF(SignsTable[[#This Row],[PKValue]]="","",IF(D118="","",INT(D118/1000)&amp;"+"&amp;TEXT(MOD(D118,1000),"000.00")))</f>
        <v/>
      </c>
      <c r="J118" t="str">
        <f>IF(B118="","",IFERROR(_xlfn.XLOOKUP(B118,TableLibrarySigns[Block],TableLibrarySigns[Material]),""))</f>
        <v/>
      </c>
      <c r="K118" t="str">
        <f>IF(B118="","",IFERROR(_xlfn.XLOOKUP(B118,TableLibrarySigns[Block],TableLibrarySigns[RotationMode]),""))</f>
        <v/>
      </c>
      <c r="L118" t="str">
        <f>IF(B118="","",IFERROR(_xlfn.XLOOKUP(B118,TableLibrarySigns[Block],TableLibrarySigns[Layer]),""))</f>
        <v/>
      </c>
      <c r="M118" t="str">
        <f>IF(B118="","",IFERROR(_xlfn.XLOOKUP(B118,TableLibrarySigns[Block],TableLibrarySigns[DWGName]),""))</f>
        <v/>
      </c>
      <c r="N118" t="str">
        <f>IF(B118="","",IFERROR(_xlfn.XLOOKUP(B118,TableLibrarySigns[Block],TableLibrarySigns[SignCode]),""))</f>
        <v/>
      </c>
      <c r="O118" t="str">
        <f>IF(B118="","",IFERROR(_xlfn.XLOOKUP(B118,TableLibrarySigns[Block],TableLibrarySigns[IFCEntity]),""))</f>
        <v/>
      </c>
      <c r="P118" t="str">
        <f>IF(B118="","",IFERROR(_xlfn.XLOOKUP(B118,TableLibrarySigns[Block],TableLibrarySigns[Category]),""))</f>
        <v/>
      </c>
      <c r="Q118" t="str">
        <f>IF(B118="","",IFERROR(_xlfn.XLOOKUP(B118,TableLibrarySigns[Block],TableLibrarySigns[Normative]),""))</f>
        <v/>
      </c>
      <c r="R118" t="str">
        <f>IF(B118="","",IFERROR(_xlfn.XLOOKUP(B118,TableLibrarySigns[Block],TableLibrarySigns[Description]),""))</f>
        <v/>
      </c>
      <c r="S118" t="str">
        <f t="shared" si="8"/>
        <v/>
      </c>
      <c r="T118" t="str">
        <f>IF(B118="","",IFERROR(_xlfn.XLOOKUP(B118,TableLibrarySigns[Block],TableLibrarySigns[UnitTime]),""))</f>
        <v/>
      </c>
      <c r="U118" t="str">
        <f>IF(B118="","",IFERROR(_xlfn.XLOOKUP(B118,TableLibrarySigns[Block],TableLibrarySigns[UnitCost]),""))</f>
        <v/>
      </c>
      <c r="V118" t="str">
        <f t="shared" si="9"/>
        <v/>
      </c>
    </row>
    <row r="119" spans="1:22" ht="16.8" customHeight="1">
      <c r="A119" t="str">
        <f t="shared" si="7"/>
        <v/>
      </c>
      <c r="D119" s="2"/>
      <c r="E119" s="6" t="str">
        <f>IF(SignsTable[[#This Row],[PKValue]]="","",IF(D119="","",INT(D119/1000)&amp;"+"&amp;TEXT(MOD(D119,1000),"000.00")))</f>
        <v/>
      </c>
      <c r="J119" t="str">
        <f>IF(B119="","",IFERROR(_xlfn.XLOOKUP(B119,TableLibrarySigns[Block],TableLibrarySigns[Material]),""))</f>
        <v/>
      </c>
      <c r="K119" t="str">
        <f>IF(B119="","",IFERROR(_xlfn.XLOOKUP(B119,TableLibrarySigns[Block],TableLibrarySigns[RotationMode]),""))</f>
        <v/>
      </c>
      <c r="L119" t="str">
        <f>IF(B119="","",IFERROR(_xlfn.XLOOKUP(B119,TableLibrarySigns[Block],TableLibrarySigns[Layer]),""))</f>
        <v/>
      </c>
      <c r="M119" t="str">
        <f>IF(B119="","",IFERROR(_xlfn.XLOOKUP(B119,TableLibrarySigns[Block],TableLibrarySigns[DWGName]),""))</f>
        <v/>
      </c>
      <c r="N119" t="str">
        <f>IF(B119="","",IFERROR(_xlfn.XLOOKUP(B119,TableLibrarySigns[Block],TableLibrarySigns[SignCode]),""))</f>
        <v/>
      </c>
      <c r="O119" t="str">
        <f>IF(B119="","",IFERROR(_xlfn.XLOOKUP(B119,TableLibrarySigns[Block],TableLibrarySigns[IFCEntity]),""))</f>
        <v/>
      </c>
      <c r="P119" t="str">
        <f>IF(B119="","",IFERROR(_xlfn.XLOOKUP(B119,TableLibrarySigns[Block],TableLibrarySigns[Category]),""))</f>
        <v/>
      </c>
      <c r="Q119" t="str">
        <f>IF(B119="","",IFERROR(_xlfn.XLOOKUP(B119,TableLibrarySigns[Block],TableLibrarySigns[Normative]),""))</f>
        <v/>
      </c>
      <c r="R119" t="str">
        <f>IF(B119="","",IFERROR(_xlfn.XLOOKUP(B119,TableLibrarySigns[Block],TableLibrarySigns[Description]),""))</f>
        <v/>
      </c>
      <c r="S119" t="str">
        <f t="shared" si="8"/>
        <v/>
      </c>
      <c r="T119" t="str">
        <f>IF(B119="","",IFERROR(_xlfn.XLOOKUP(B119,TableLibrarySigns[Block],TableLibrarySigns[UnitTime]),""))</f>
        <v/>
      </c>
      <c r="U119" t="str">
        <f>IF(B119="","",IFERROR(_xlfn.XLOOKUP(B119,TableLibrarySigns[Block],TableLibrarySigns[UnitCost]),""))</f>
        <v/>
      </c>
      <c r="V119" t="str">
        <f t="shared" si="9"/>
        <v/>
      </c>
    </row>
    <row r="120" spans="1:22" ht="16.8" customHeight="1">
      <c r="A120" t="str">
        <f t="shared" si="7"/>
        <v/>
      </c>
      <c r="D120" s="2"/>
      <c r="E120" s="6" t="str">
        <f>IF(SignsTable[[#This Row],[PKValue]]="","",IF(D120="","",INT(D120/1000)&amp;"+"&amp;TEXT(MOD(D120,1000),"000.00")))</f>
        <v/>
      </c>
      <c r="J120" t="str">
        <f>IF(B120="","",IFERROR(_xlfn.XLOOKUP(B120,TableLibrarySigns[Block],TableLibrarySigns[Material]),""))</f>
        <v/>
      </c>
      <c r="K120" t="str">
        <f>IF(B120="","",IFERROR(_xlfn.XLOOKUP(B120,TableLibrarySigns[Block],TableLibrarySigns[RotationMode]),""))</f>
        <v/>
      </c>
      <c r="L120" t="str">
        <f>IF(B120="","",IFERROR(_xlfn.XLOOKUP(B120,TableLibrarySigns[Block],TableLibrarySigns[Layer]),""))</f>
        <v/>
      </c>
      <c r="M120" t="str">
        <f>IF(B120="","",IFERROR(_xlfn.XLOOKUP(B120,TableLibrarySigns[Block],TableLibrarySigns[DWGName]),""))</f>
        <v/>
      </c>
      <c r="N120" t="str">
        <f>IF(B120="","",IFERROR(_xlfn.XLOOKUP(B120,TableLibrarySigns[Block],TableLibrarySigns[SignCode]),""))</f>
        <v/>
      </c>
      <c r="O120" t="str">
        <f>IF(B120="","",IFERROR(_xlfn.XLOOKUP(B120,TableLibrarySigns[Block],TableLibrarySigns[IFCEntity]),""))</f>
        <v/>
      </c>
      <c r="P120" t="str">
        <f>IF(B120="","",IFERROR(_xlfn.XLOOKUP(B120,TableLibrarySigns[Block],TableLibrarySigns[Category]),""))</f>
        <v/>
      </c>
      <c r="Q120" t="str">
        <f>IF(B120="","",IFERROR(_xlfn.XLOOKUP(B120,TableLibrarySigns[Block],TableLibrarySigns[Normative]),""))</f>
        <v/>
      </c>
      <c r="R120" t="str">
        <f>IF(B120="","",IFERROR(_xlfn.XLOOKUP(B120,TableLibrarySigns[Block],TableLibrarySigns[Description]),""))</f>
        <v/>
      </c>
      <c r="S120" t="str">
        <f t="shared" si="8"/>
        <v/>
      </c>
      <c r="T120" t="str">
        <f>IF(B120="","",IFERROR(_xlfn.XLOOKUP(B120,TableLibrarySigns[Block],TableLibrarySigns[UnitTime]),""))</f>
        <v/>
      </c>
      <c r="U120" t="str">
        <f>IF(B120="","",IFERROR(_xlfn.XLOOKUP(B120,TableLibrarySigns[Block],TableLibrarySigns[UnitCost]),""))</f>
        <v/>
      </c>
      <c r="V120" t="str">
        <f t="shared" si="9"/>
        <v/>
      </c>
    </row>
    <row r="121" spans="1:22" ht="16.8" customHeight="1">
      <c r="A121" t="str">
        <f t="shared" si="7"/>
        <v/>
      </c>
      <c r="D121" s="2"/>
      <c r="E121" s="6" t="str">
        <f>IF(SignsTable[[#This Row],[PKValue]]="","",IF(D121="","",INT(D121/1000)&amp;"+"&amp;TEXT(MOD(D121,1000),"000.00")))</f>
        <v/>
      </c>
      <c r="J121" t="str">
        <f>IF(B121="","",IFERROR(_xlfn.XLOOKUP(B121,TableLibrarySigns[Block],TableLibrarySigns[Material]),""))</f>
        <v/>
      </c>
      <c r="K121" t="str">
        <f>IF(B121="","",IFERROR(_xlfn.XLOOKUP(B121,TableLibrarySigns[Block],TableLibrarySigns[RotationMode]),""))</f>
        <v/>
      </c>
      <c r="L121" t="str">
        <f>IF(B121="","",IFERROR(_xlfn.XLOOKUP(B121,TableLibrarySigns[Block],TableLibrarySigns[Layer]),""))</f>
        <v/>
      </c>
      <c r="M121" t="str">
        <f>IF(B121="","",IFERROR(_xlfn.XLOOKUP(B121,TableLibrarySigns[Block],TableLibrarySigns[DWGName]),""))</f>
        <v/>
      </c>
      <c r="N121" t="str">
        <f>IF(B121="","",IFERROR(_xlfn.XLOOKUP(B121,TableLibrarySigns[Block],TableLibrarySigns[SignCode]),""))</f>
        <v/>
      </c>
      <c r="O121" t="str">
        <f>IF(B121="","",IFERROR(_xlfn.XLOOKUP(B121,TableLibrarySigns[Block],TableLibrarySigns[IFCEntity]),""))</f>
        <v/>
      </c>
      <c r="P121" t="str">
        <f>IF(B121="","",IFERROR(_xlfn.XLOOKUP(B121,TableLibrarySigns[Block],TableLibrarySigns[Category]),""))</f>
        <v/>
      </c>
      <c r="Q121" t="str">
        <f>IF(B121="","",IFERROR(_xlfn.XLOOKUP(B121,TableLibrarySigns[Block],TableLibrarySigns[Normative]),""))</f>
        <v/>
      </c>
      <c r="R121" t="str">
        <f>IF(B121="","",IFERROR(_xlfn.XLOOKUP(B121,TableLibrarySigns[Block],TableLibrarySigns[Description]),""))</f>
        <v/>
      </c>
      <c r="S121" t="str">
        <f t="shared" si="8"/>
        <v/>
      </c>
      <c r="T121" t="str">
        <f>IF(B121="","",IFERROR(_xlfn.XLOOKUP(B121,TableLibrarySigns[Block],TableLibrarySigns[UnitTime]),""))</f>
        <v/>
      </c>
      <c r="U121" t="str">
        <f>IF(B121="","",IFERROR(_xlfn.XLOOKUP(B121,TableLibrarySigns[Block],TableLibrarySigns[UnitCost]),""))</f>
        <v/>
      </c>
      <c r="V121" t="str">
        <f t="shared" si="9"/>
        <v/>
      </c>
    </row>
    <row r="122" spans="1:22" ht="16.8" customHeight="1">
      <c r="A122" t="str">
        <f t="shared" si="7"/>
        <v/>
      </c>
      <c r="D122" s="2"/>
      <c r="E122" s="6" t="str">
        <f>IF(SignsTable[[#This Row],[PKValue]]="","",IF(D122="","",INT(D122/1000)&amp;"+"&amp;TEXT(MOD(D122,1000),"000.00")))</f>
        <v/>
      </c>
      <c r="J122" t="str">
        <f>IF(B122="","",IFERROR(_xlfn.XLOOKUP(B122,TableLibrarySigns[Block],TableLibrarySigns[Material]),""))</f>
        <v/>
      </c>
      <c r="K122" t="str">
        <f>IF(B122="","",IFERROR(_xlfn.XLOOKUP(B122,TableLibrarySigns[Block],TableLibrarySigns[RotationMode]),""))</f>
        <v/>
      </c>
      <c r="L122" t="str">
        <f>IF(B122="","",IFERROR(_xlfn.XLOOKUP(B122,TableLibrarySigns[Block],TableLibrarySigns[Layer]),""))</f>
        <v/>
      </c>
      <c r="M122" t="str">
        <f>IF(B122="","",IFERROR(_xlfn.XLOOKUP(B122,TableLibrarySigns[Block],TableLibrarySigns[DWGName]),""))</f>
        <v/>
      </c>
      <c r="N122" t="str">
        <f>IF(B122="","",IFERROR(_xlfn.XLOOKUP(B122,TableLibrarySigns[Block],TableLibrarySigns[SignCode]),""))</f>
        <v/>
      </c>
      <c r="O122" t="str">
        <f>IF(B122="","",IFERROR(_xlfn.XLOOKUP(B122,TableLibrarySigns[Block],TableLibrarySigns[IFCEntity]),""))</f>
        <v/>
      </c>
      <c r="P122" t="str">
        <f>IF(B122="","",IFERROR(_xlfn.XLOOKUP(B122,TableLibrarySigns[Block],TableLibrarySigns[Category]),""))</f>
        <v/>
      </c>
      <c r="Q122" t="str">
        <f>IF(B122="","",IFERROR(_xlfn.XLOOKUP(B122,TableLibrarySigns[Block],TableLibrarySigns[Normative]),""))</f>
        <v/>
      </c>
      <c r="R122" t="str">
        <f>IF(B122="","",IFERROR(_xlfn.XLOOKUP(B122,TableLibrarySigns[Block],TableLibrarySigns[Description]),""))</f>
        <v/>
      </c>
      <c r="S122" t="str">
        <f t="shared" si="8"/>
        <v/>
      </c>
      <c r="T122" t="str">
        <f>IF(B122="","",IFERROR(_xlfn.XLOOKUP(B122,TableLibrarySigns[Block],TableLibrarySigns[UnitTime]),""))</f>
        <v/>
      </c>
      <c r="U122" t="str">
        <f>IF(B122="","",IFERROR(_xlfn.XLOOKUP(B122,TableLibrarySigns[Block],TableLibrarySigns[UnitCost]),""))</f>
        <v/>
      </c>
      <c r="V122" t="str">
        <f t="shared" si="9"/>
        <v/>
      </c>
    </row>
    <row r="123" spans="1:22" ht="16.8" customHeight="1">
      <c r="A123" t="str">
        <f t="shared" si="7"/>
        <v/>
      </c>
      <c r="D123" s="2"/>
      <c r="E123" s="6" t="str">
        <f>IF(SignsTable[[#This Row],[PKValue]]="","",IF(D123="","",INT(D123/1000)&amp;"+"&amp;TEXT(MOD(D123,1000),"000.00")))</f>
        <v/>
      </c>
      <c r="J123" t="str">
        <f>IF(B123="","",IFERROR(_xlfn.XLOOKUP(B123,TableLibrarySigns[Block],TableLibrarySigns[Material]),""))</f>
        <v/>
      </c>
      <c r="K123" t="str">
        <f>IF(B123="","",IFERROR(_xlfn.XLOOKUP(B123,TableLibrarySigns[Block],TableLibrarySigns[RotationMode]),""))</f>
        <v/>
      </c>
      <c r="L123" t="str">
        <f>IF(B123="","",IFERROR(_xlfn.XLOOKUP(B123,TableLibrarySigns[Block],TableLibrarySigns[Layer]),""))</f>
        <v/>
      </c>
      <c r="M123" t="str">
        <f>IF(B123="","",IFERROR(_xlfn.XLOOKUP(B123,TableLibrarySigns[Block],TableLibrarySigns[DWGName]),""))</f>
        <v/>
      </c>
      <c r="N123" t="str">
        <f>IF(B123="","",IFERROR(_xlfn.XLOOKUP(B123,TableLibrarySigns[Block],TableLibrarySigns[SignCode]),""))</f>
        <v/>
      </c>
      <c r="O123" t="str">
        <f>IF(B123="","",IFERROR(_xlfn.XLOOKUP(B123,TableLibrarySigns[Block],TableLibrarySigns[IFCEntity]),""))</f>
        <v/>
      </c>
      <c r="P123" t="str">
        <f>IF(B123="","",IFERROR(_xlfn.XLOOKUP(B123,TableLibrarySigns[Block],TableLibrarySigns[Category]),""))</f>
        <v/>
      </c>
      <c r="Q123" t="str">
        <f>IF(B123="","",IFERROR(_xlfn.XLOOKUP(B123,TableLibrarySigns[Block],TableLibrarySigns[Normative]),""))</f>
        <v/>
      </c>
      <c r="R123" t="str">
        <f>IF(B123="","",IFERROR(_xlfn.XLOOKUP(B123,TableLibrarySigns[Block],TableLibrarySigns[Description]),""))</f>
        <v/>
      </c>
      <c r="S123" t="str">
        <f t="shared" si="8"/>
        <v/>
      </c>
      <c r="T123" t="str">
        <f>IF(B123="","",IFERROR(_xlfn.XLOOKUP(B123,TableLibrarySigns[Block],TableLibrarySigns[UnitTime]),""))</f>
        <v/>
      </c>
      <c r="U123" t="str">
        <f>IF(B123="","",IFERROR(_xlfn.XLOOKUP(B123,TableLibrarySigns[Block],TableLibrarySigns[UnitCost]),""))</f>
        <v/>
      </c>
      <c r="V123" t="str">
        <f t="shared" si="9"/>
        <v/>
      </c>
    </row>
    <row r="124" spans="1:22" ht="16.8" customHeight="1">
      <c r="A124" t="str">
        <f t="shared" si="7"/>
        <v/>
      </c>
      <c r="D124" s="2"/>
      <c r="E124" s="6" t="str">
        <f>IF(SignsTable[[#This Row],[PKValue]]="","",IF(D124="","",INT(D124/1000)&amp;"+"&amp;TEXT(MOD(D124,1000),"000.00")))</f>
        <v/>
      </c>
      <c r="J124" t="str">
        <f>IF(B124="","",IFERROR(_xlfn.XLOOKUP(B124,TableLibrarySigns[Block],TableLibrarySigns[Material]),""))</f>
        <v/>
      </c>
      <c r="K124" t="str">
        <f>IF(B124="","",IFERROR(_xlfn.XLOOKUP(B124,TableLibrarySigns[Block],TableLibrarySigns[RotationMode]),""))</f>
        <v/>
      </c>
      <c r="L124" t="str">
        <f>IF(B124="","",IFERROR(_xlfn.XLOOKUP(B124,TableLibrarySigns[Block],TableLibrarySigns[Layer]),""))</f>
        <v/>
      </c>
      <c r="M124" t="str">
        <f>IF(B124="","",IFERROR(_xlfn.XLOOKUP(B124,TableLibrarySigns[Block],TableLibrarySigns[DWGName]),""))</f>
        <v/>
      </c>
      <c r="N124" t="str">
        <f>IF(B124="","",IFERROR(_xlfn.XLOOKUP(B124,TableLibrarySigns[Block],TableLibrarySigns[SignCode]),""))</f>
        <v/>
      </c>
      <c r="O124" t="str">
        <f>IF(B124="","",IFERROR(_xlfn.XLOOKUP(B124,TableLibrarySigns[Block],TableLibrarySigns[IFCEntity]),""))</f>
        <v/>
      </c>
      <c r="P124" t="str">
        <f>IF(B124="","",IFERROR(_xlfn.XLOOKUP(B124,TableLibrarySigns[Block],TableLibrarySigns[Category]),""))</f>
        <v/>
      </c>
      <c r="Q124" t="str">
        <f>IF(B124="","",IFERROR(_xlfn.XLOOKUP(B124,TableLibrarySigns[Block],TableLibrarySigns[Normative]),""))</f>
        <v/>
      </c>
      <c r="R124" t="str">
        <f>IF(B124="","",IFERROR(_xlfn.XLOOKUP(B124,TableLibrarySigns[Block],TableLibrarySigns[Description]),""))</f>
        <v/>
      </c>
      <c r="S124" t="str">
        <f t="shared" si="8"/>
        <v/>
      </c>
      <c r="T124" t="str">
        <f>IF(B124="","",IFERROR(_xlfn.XLOOKUP(B124,TableLibrarySigns[Block],TableLibrarySigns[UnitTime]),""))</f>
        <v/>
      </c>
      <c r="U124" t="str">
        <f>IF(B124="","",IFERROR(_xlfn.XLOOKUP(B124,TableLibrarySigns[Block],TableLibrarySigns[UnitCost]),""))</f>
        <v/>
      </c>
      <c r="V124" t="str">
        <f t="shared" si="9"/>
        <v/>
      </c>
    </row>
    <row r="125" spans="1:22" ht="16.8" customHeight="1">
      <c r="A125" t="str">
        <f t="shared" si="7"/>
        <v/>
      </c>
      <c r="D125" s="2"/>
      <c r="E125" s="6" t="str">
        <f>IF(SignsTable[[#This Row],[PKValue]]="","",IF(D125="","",INT(D125/1000)&amp;"+"&amp;TEXT(MOD(D125,1000),"000.00")))</f>
        <v/>
      </c>
      <c r="J125" t="str">
        <f>IF(B125="","",IFERROR(_xlfn.XLOOKUP(B125,TableLibrarySigns[Block],TableLibrarySigns[Material]),""))</f>
        <v/>
      </c>
      <c r="K125" t="str">
        <f>IF(B125="","",IFERROR(_xlfn.XLOOKUP(B125,TableLibrarySigns[Block],TableLibrarySigns[RotationMode]),""))</f>
        <v/>
      </c>
      <c r="L125" t="str">
        <f>IF(B125="","",IFERROR(_xlfn.XLOOKUP(B125,TableLibrarySigns[Block],TableLibrarySigns[Layer]),""))</f>
        <v/>
      </c>
      <c r="M125" t="str">
        <f>IF(B125="","",IFERROR(_xlfn.XLOOKUP(B125,TableLibrarySigns[Block],TableLibrarySigns[DWGName]),""))</f>
        <v/>
      </c>
      <c r="N125" t="str">
        <f>IF(B125="","",IFERROR(_xlfn.XLOOKUP(B125,TableLibrarySigns[Block],TableLibrarySigns[SignCode]),""))</f>
        <v/>
      </c>
      <c r="O125" t="str">
        <f>IF(B125="","",IFERROR(_xlfn.XLOOKUP(B125,TableLibrarySigns[Block],TableLibrarySigns[IFCEntity]),""))</f>
        <v/>
      </c>
      <c r="P125" t="str">
        <f>IF(B125="","",IFERROR(_xlfn.XLOOKUP(B125,TableLibrarySigns[Block],TableLibrarySigns[Category]),""))</f>
        <v/>
      </c>
      <c r="Q125" t="str">
        <f>IF(B125="","",IFERROR(_xlfn.XLOOKUP(B125,TableLibrarySigns[Block],TableLibrarySigns[Normative]),""))</f>
        <v/>
      </c>
      <c r="R125" t="str">
        <f>IF(B125="","",IFERROR(_xlfn.XLOOKUP(B125,TableLibrarySigns[Block],TableLibrarySigns[Description]),""))</f>
        <v/>
      </c>
      <c r="S125" t="str">
        <f t="shared" si="8"/>
        <v/>
      </c>
      <c r="T125" t="str">
        <f>IF(B125="","",IFERROR(_xlfn.XLOOKUP(B125,TableLibrarySigns[Block],TableLibrarySigns[UnitTime]),""))</f>
        <v/>
      </c>
      <c r="U125" t="str">
        <f>IF(B125="","",IFERROR(_xlfn.XLOOKUP(B125,TableLibrarySigns[Block],TableLibrarySigns[UnitCost]),""))</f>
        <v/>
      </c>
      <c r="V125" t="str">
        <f t="shared" si="9"/>
        <v/>
      </c>
    </row>
    <row r="126" spans="1:22" ht="16.8" customHeight="1">
      <c r="A126" t="str">
        <f t="shared" si="7"/>
        <v/>
      </c>
      <c r="D126" s="2"/>
      <c r="E126" s="6" t="str">
        <f>IF(SignsTable[[#This Row],[PKValue]]="","",IF(D126="","",INT(D126/1000)&amp;"+"&amp;TEXT(MOD(D126,1000),"000.00")))</f>
        <v/>
      </c>
      <c r="J126" t="str">
        <f>IF(B126="","",IFERROR(_xlfn.XLOOKUP(B126,TableLibrarySigns[Block],TableLibrarySigns[Material]),""))</f>
        <v/>
      </c>
      <c r="K126" t="str">
        <f>IF(B126="","",IFERROR(_xlfn.XLOOKUP(B126,TableLibrarySigns[Block],TableLibrarySigns[RotationMode]),""))</f>
        <v/>
      </c>
      <c r="L126" t="str">
        <f>IF(B126="","",IFERROR(_xlfn.XLOOKUP(B126,TableLibrarySigns[Block],TableLibrarySigns[Layer]),""))</f>
        <v/>
      </c>
      <c r="M126" t="str">
        <f>IF(B126="","",IFERROR(_xlfn.XLOOKUP(B126,TableLibrarySigns[Block],TableLibrarySigns[DWGName]),""))</f>
        <v/>
      </c>
      <c r="N126" t="str">
        <f>IF(B126="","",IFERROR(_xlfn.XLOOKUP(B126,TableLibrarySigns[Block],TableLibrarySigns[SignCode]),""))</f>
        <v/>
      </c>
      <c r="O126" t="str">
        <f>IF(B126="","",IFERROR(_xlfn.XLOOKUP(B126,TableLibrarySigns[Block],TableLibrarySigns[IFCEntity]),""))</f>
        <v/>
      </c>
      <c r="P126" t="str">
        <f>IF(B126="","",IFERROR(_xlfn.XLOOKUP(B126,TableLibrarySigns[Block],TableLibrarySigns[Category]),""))</f>
        <v/>
      </c>
      <c r="Q126" t="str">
        <f>IF(B126="","",IFERROR(_xlfn.XLOOKUP(B126,TableLibrarySigns[Block],TableLibrarySigns[Normative]),""))</f>
        <v/>
      </c>
      <c r="R126" t="str">
        <f>IF(B126="","",IFERROR(_xlfn.XLOOKUP(B126,TableLibrarySigns[Block],TableLibrarySigns[Description]),""))</f>
        <v/>
      </c>
      <c r="S126" t="str">
        <f t="shared" si="8"/>
        <v/>
      </c>
      <c r="T126" t="str">
        <f>IF(B126="","",IFERROR(_xlfn.XLOOKUP(B126,TableLibrarySigns[Block],TableLibrarySigns[UnitTime]),""))</f>
        <v/>
      </c>
      <c r="U126" t="str">
        <f>IF(B126="","",IFERROR(_xlfn.XLOOKUP(B126,TableLibrarySigns[Block],TableLibrarySigns[UnitCost]),""))</f>
        <v/>
      </c>
      <c r="V126" t="str">
        <f t="shared" si="9"/>
        <v/>
      </c>
    </row>
    <row r="127" spans="1:22" ht="16.8" customHeight="1">
      <c r="A127" t="str">
        <f t="shared" si="7"/>
        <v/>
      </c>
      <c r="D127" s="2"/>
      <c r="E127" s="6" t="str">
        <f>IF(SignsTable[[#This Row],[PKValue]]="","",IF(D127="","",INT(D127/1000)&amp;"+"&amp;TEXT(MOD(D127,1000),"000.00")))</f>
        <v/>
      </c>
      <c r="J127" t="str">
        <f>IF(B127="","",IFERROR(_xlfn.XLOOKUP(B127,TableLibrarySigns[Block],TableLibrarySigns[Material]),""))</f>
        <v/>
      </c>
      <c r="K127" t="str">
        <f>IF(B127="","",IFERROR(_xlfn.XLOOKUP(B127,TableLibrarySigns[Block],TableLibrarySigns[RotationMode]),""))</f>
        <v/>
      </c>
      <c r="L127" t="str">
        <f>IF(B127="","",IFERROR(_xlfn.XLOOKUP(B127,TableLibrarySigns[Block],TableLibrarySigns[Layer]),""))</f>
        <v/>
      </c>
      <c r="M127" t="str">
        <f>IF(B127="","",IFERROR(_xlfn.XLOOKUP(B127,TableLibrarySigns[Block],TableLibrarySigns[DWGName]),""))</f>
        <v/>
      </c>
      <c r="N127" t="str">
        <f>IF(B127="","",IFERROR(_xlfn.XLOOKUP(B127,TableLibrarySigns[Block],TableLibrarySigns[SignCode]),""))</f>
        <v/>
      </c>
      <c r="O127" t="str">
        <f>IF(B127="","",IFERROR(_xlfn.XLOOKUP(B127,TableLibrarySigns[Block],TableLibrarySigns[IFCEntity]),""))</f>
        <v/>
      </c>
      <c r="P127" t="str">
        <f>IF(B127="","",IFERROR(_xlfn.XLOOKUP(B127,TableLibrarySigns[Block],TableLibrarySigns[Category]),""))</f>
        <v/>
      </c>
      <c r="Q127" t="str">
        <f>IF(B127="","",IFERROR(_xlfn.XLOOKUP(B127,TableLibrarySigns[Block],TableLibrarySigns[Normative]),""))</f>
        <v/>
      </c>
      <c r="R127" t="str">
        <f>IF(B127="","",IFERROR(_xlfn.XLOOKUP(B127,TableLibrarySigns[Block],TableLibrarySigns[Description]),""))</f>
        <v/>
      </c>
      <c r="S127" t="str">
        <f t="shared" si="8"/>
        <v/>
      </c>
      <c r="T127" t="str">
        <f>IF(B127="","",IFERROR(_xlfn.XLOOKUP(B127,TableLibrarySigns[Block],TableLibrarySigns[UnitTime]),""))</f>
        <v/>
      </c>
      <c r="U127" t="str">
        <f>IF(B127="","",IFERROR(_xlfn.XLOOKUP(B127,TableLibrarySigns[Block],TableLibrarySigns[UnitCost]),""))</f>
        <v/>
      </c>
      <c r="V127" t="str">
        <f t="shared" si="9"/>
        <v/>
      </c>
    </row>
    <row r="128" spans="1:22" ht="16.8" customHeight="1">
      <c r="A128" t="str">
        <f t="shared" si="7"/>
        <v/>
      </c>
      <c r="D128" s="2"/>
      <c r="E128" s="6" t="str">
        <f>IF(SignsTable[[#This Row],[PKValue]]="","",IF(D128="","",INT(D128/1000)&amp;"+"&amp;TEXT(MOD(D128,1000),"000.00")))</f>
        <v/>
      </c>
      <c r="J128" t="str">
        <f>IF(B128="","",IFERROR(_xlfn.XLOOKUP(B128,TableLibrarySigns[Block],TableLibrarySigns[Material]),""))</f>
        <v/>
      </c>
      <c r="K128" t="str">
        <f>IF(B128="","",IFERROR(_xlfn.XLOOKUP(B128,TableLibrarySigns[Block],TableLibrarySigns[RotationMode]),""))</f>
        <v/>
      </c>
      <c r="L128" t="str">
        <f>IF(B128="","",IFERROR(_xlfn.XLOOKUP(B128,TableLibrarySigns[Block],TableLibrarySigns[Layer]),""))</f>
        <v/>
      </c>
      <c r="M128" t="str">
        <f>IF(B128="","",IFERROR(_xlfn.XLOOKUP(B128,TableLibrarySigns[Block],TableLibrarySigns[DWGName]),""))</f>
        <v/>
      </c>
      <c r="N128" t="str">
        <f>IF(B128="","",IFERROR(_xlfn.XLOOKUP(B128,TableLibrarySigns[Block],TableLibrarySigns[SignCode]),""))</f>
        <v/>
      </c>
      <c r="O128" t="str">
        <f>IF(B128="","",IFERROR(_xlfn.XLOOKUP(B128,TableLibrarySigns[Block],TableLibrarySigns[IFCEntity]),""))</f>
        <v/>
      </c>
      <c r="P128" t="str">
        <f>IF(B128="","",IFERROR(_xlfn.XLOOKUP(B128,TableLibrarySigns[Block],TableLibrarySigns[Category]),""))</f>
        <v/>
      </c>
      <c r="Q128" t="str">
        <f>IF(B128="","",IFERROR(_xlfn.XLOOKUP(B128,TableLibrarySigns[Block],TableLibrarySigns[Normative]),""))</f>
        <v/>
      </c>
      <c r="R128" t="str">
        <f>IF(B128="","",IFERROR(_xlfn.XLOOKUP(B128,TableLibrarySigns[Block],TableLibrarySigns[Description]),""))</f>
        <v/>
      </c>
      <c r="S128" t="str">
        <f t="shared" si="8"/>
        <v/>
      </c>
      <c r="T128" t="str">
        <f>IF(B128="","",IFERROR(_xlfn.XLOOKUP(B128,TableLibrarySigns[Block],TableLibrarySigns[UnitTime]),""))</f>
        <v/>
      </c>
      <c r="U128" t="str">
        <f>IF(B128="","",IFERROR(_xlfn.XLOOKUP(B128,TableLibrarySigns[Block],TableLibrarySigns[UnitCost]),""))</f>
        <v/>
      </c>
      <c r="V128" t="str">
        <f t="shared" si="9"/>
        <v/>
      </c>
    </row>
    <row r="129" spans="1:22" ht="16.8" customHeight="1">
      <c r="A129" t="str">
        <f t="shared" si="7"/>
        <v/>
      </c>
      <c r="D129" s="2"/>
      <c r="E129" s="6" t="str">
        <f>IF(SignsTable[[#This Row],[PKValue]]="","",IF(D129="","",INT(D129/1000)&amp;"+"&amp;TEXT(MOD(D129,1000),"000.00")))</f>
        <v/>
      </c>
      <c r="J129" t="str">
        <f>IF(B129="","",IFERROR(_xlfn.XLOOKUP(B129,TableLibrarySigns[Block],TableLibrarySigns[Material]),""))</f>
        <v/>
      </c>
      <c r="K129" t="str">
        <f>IF(B129="","",IFERROR(_xlfn.XLOOKUP(B129,TableLibrarySigns[Block],TableLibrarySigns[RotationMode]),""))</f>
        <v/>
      </c>
      <c r="L129" t="str">
        <f>IF(B129="","",IFERROR(_xlfn.XLOOKUP(B129,TableLibrarySigns[Block],TableLibrarySigns[Layer]),""))</f>
        <v/>
      </c>
      <c r="M129" t="str">
        <f>IF(B129="","",IFERROR(_xlfn.XLOOKUP(B129,TableLibrarySigns[Block],TableLibrarySigns[DWGName]),""))</f>
        <v/>
      </c>
      <c r="N129" t="str">
        <f>IF(B129="","",IFERROR(_xlfn.XLOOKUP(B129,TableLibrarySigns[Block],TableLibrarySigns[SignCode]),""))</f>
        <v/>
      </c>
      <c r="O129" t="str">
        <f>IF(B129="","",IFERROR(_xlfn.XLOOKUP(B129,TableLibrarySigns[Block],TableLibrarySigns[IFCEntity]),""))</f>
        <v/>
      </c>
      <c r="P129" t="str">
        <f>IF(B129="","",IFERROR(_xlfn.XLOOKUP(B129,TableLibrarySigns[Block],TableLibrarySigns[Category]),""))</f>
        <v/>
      </c>
      <c r="Q129" t="str">
        <f>IF(B129="","",IFERROR(_xlfn.XLOOKUP(B129,TableLibrarySigns[Block],TableLibrarySigns[Normative]),""))</f>
        <v/>
      </c>
      <c r="R129" t="str">
        <f>IF(B129="","",IFERROR(_xlfn.XLOOKUP(B129,TableLibrarySigns[Block],TableLibrarySigns[Description]),""))</f>
        <v/>
      </c>
      <c r="S129" t="str">
        <f t="shared" si="8"/>
        <v/>
      </c>
      <c r="T129" t="str">
        <f>IF(B129="","",IFERROR(_xlfn.XLOOKUP(B129,TableLibrarySigns[Block],TableLibrarySigns[UnitTime]),""))</f>
        <v/>
      </c>
      <c r="U129" t="str">
        <f>IF(B129="","",IFERROR(_xlfn.XLOOKUP(B129,TableLibrarySigns[Block],TableLibrarySigns[UnitCost]),""))</f>
        <v/>
      </c>
      <c r="V129" t="str">
        <f t="shared" si="9"/>
        <v/>
      </c>
    </row>
    <row r="130" spans="1:22" ht="16.8" customHeight="1">
      <c r="A130" t="str">
        <f t="shared" si="7"/>
        <v/>
      </c>
      <c r="D130" s="2"/>
      <c r="E130" s="6" t="str">
        <f>IF(SignsTable[[#This Row],[PKValue]]="","",IF(D130="","",INT(D130/1000)&amp;"+"&amp;TEXT(MOD(D130,1000),"000.00")))</f>
        <v/>
      </c>
      <c r="J130" t="str">
        <f>IF(B130="","",IFERROR(_xlfn.XLOOKUP(B130,TableLibrarySigns[Block],TableLibrarySigns[Material]),""))</f>
        <v/>
      </c>
      <c r="K130" t="str">
        <f>IF(B130="","",IFERROR(_xlfn.XLOOKUP(B130,TableLibrarySigns[Block],TableLibrarySigns[RotationMode]),""))</f>
        <v/>
      </c>
      <c r="L130" t="str">
        <f>IF(B130="","",IFERROR(_xlfn.XLOOKUP(B130,TableLibrarySigns[Block],TableLibrarySigns[Layer]),""))</f>
        <v/>
      </c>
      <c r="M130" t="str">
        <f>IF(B130="","",IFERROR(_xlfn.XLOOKUP(B130,TableLibrarySigns[Block],TableLibrarySigns[DWGName]),""))</f>
        <v/>
      </c>
      <c r="N130" t="str">
        <f>IF(B130="","",IFERROR(_xlfn.XLOOKUP(B130,TableLibrarySigns[Block],TableLibrarySigns[SignCode]),""))</f>
        <v/>
      </c>
      <c r="O130" t="str">
        <f>IF(B130="","",IFERROR(_xlfn.XLOOKUP(B130,TableLibrarySigns[Block],TableLibrarySigns[IFCEntity]),""))</f>
        <v/>
      </c>
      <c r="P130" t="str">
        <f>IF(B130="","",IFERROR(_xlfn.XLOOKUP(B130,TableLibrarySigns[Block],TableLibrarySigns[Category]),""))</f>
        <v/>
      </c>
      <c r="Q130" t="str">
        <f>IF(B130="","",IFERROR(_xlfn.XLOOKUP(B130,TableLibrarySigns[Block],TableLibrarySigns[Normative]),""))</f>
        <v/>
      </c>
      <c r="R130" t="str">
        <f>IF(B130="","",IFERROR(_xlfn.XLOOKUP(B130,TableLibrarySigns[Block],TableLibrarySigns[Description]),""))</f>
        <v/>
      </c>
      <c r="S130" t="str">
        <f t="shared" ref="S130:S161" si="10">IF(B130="","",1)</f>
        <v/>
      </c>
      <c r="T130" t="str">
        <f>IF(B130="","",IFERROR(_xlfn.XLOOKUP(B130,TableLibrarySigns[Block],TableLibrarySigns[UnitTime]),""))</f>
        <v/>
      </c>
      <c r="U130" t="str">
        <f>IF(B130="","",IFERROR(_xlfn.XLOOKUP(B130,TableLibrarySigns[Block],TableLibrarySigns[UnitCost]),""))</f>
        <v/>
      </c>
      <c r="V130" t="str">
        <f t="shared" ref="V130:V161" si="11">IF(B130="","",S130*U130)</f>
        <v/>
      </c>
    </row>
    <row r="131" spans="1:22" ht="16.8" customHeight="1">
      <c r="A131" t="str">
        <f t="shared" ref="A131:A194" si="12">IF(B131="","","S"&amp;TEXT(ROW()-1,"000"))</f>
        <v/>
      </c>
      <c r="D131" s="2"/>
      <c r="E131" s="6" t="str">
        <f>IF(SignsTable[[#This Row],[PKValue]]="","",IF(D131="","",INT(D131/1000)&amp;"+"&amp;TEXT(MOD(D131,1000),"000.00")))</f>
        <v/>
      </c>
      <c r="J131" t="str">
        <f>IF(B131="","",IFERROR(_xlfn.XLOOKUP(B131,TableLibrarySigns[Block],TableLibrarySigns[Material]),""))</f>
        <v/>
      </c>
      <c r="K131" t="str">
        <f>IF(B131="","",IFERROR(_xlfn.XLOOKUP(B131,TableLibrarySigns[Block],TableLibrarySigns[RotationMode]),""))</f>
        <v/>
      </c>
      <c r="L131" t="str">
        <f>IF(B131="","",IFERROR(_xlfn.XLOOKUP(B131,TableLibrarySigns[Block],TableLibrarySigns[Layer]),""))</f>
        <v/>
      </c>
      <c r="M131" t="str">
        <f>IF(B131="","",IFERROR(_xlfn.XLOOKUP(B131,TableLibrarySigns[Block],TableLibrarySigns[DWGName]),""))</f>
        <v/>
      </c>
      <c r="N131" t="str">
        <f>IF(B131="","",IFERROR(_xlfn.XLOOKUP(B131,TableLibrarySigns[Block],TableLibrarySigns[SignCode]),""))</f>
        <v/>
      </c>
      <c r="O131" t="str">
        <f>IF(B131="","",IFERROR(_xlfn.XLOOKUP(B131,TableLibrarySigns[Block],TableLibrarySigns[IFCEntity]),""))</f>
        <v/>
      </c>
      <c r="P131" t="str">
        <f>IF(B131="","",IFERROR(_xlfn.XLOOKUP(B131,TableLibrarySigns[Block],TableLibrarySigns[Category]),""))</f>
        <v/>
      </c>
      <c r="Q131" t="str">
        <f>IF(B131="","",IFERROR(_xlfn.XLOOKUP(B131,TableLibrarySigns[Block],TableLibrarySigns[Normative]),""))</f>
        <v/>
      </c>
      <c r="R131" t="str">
        <f>IF(B131="","",IFERROR(_xlfn.XLOOKUP(B131,TableLibrarySigns[Block],TableLibrarySigns[Description]),""))</f>
        <v/>
      </c>
      <c r="S131" t="str">
        <f t="shared" si="10"/>
        <v/>
      </c>
      <c r="T131" t="str">
        <f>IF(B131="","",IFERROR(_xlfn.XLOOKUP(B131,TableLibrarySigns[Block],TableLibrarySigns[UnitTime]),""))</f>
        <v/>
      </c>
      <c r="U131" t="str">
        <f>IF(B131="","",IFERROR(_xlfn.XLOOKUP(B131,TableLibrarySigns[Block],TableLibrarySigns[UnitCost]),""))</f>
        <v/>
      </c>
      <c r="V131" t="str">
        <f t="shared" si="11"/>
        <v/>
      </c>
    </row>
    <row r="132" spans="1:22" ht="16.8" customHeight="1">
      <c r="A132" t="str">
        <f t="shared" si="12"/>
        <v/>
      </c>
      <c r="D132" s="2"/>
      <c r="E132" s="6" t="str">
        <f>IF(SignsTable[[#This Row],[PKValue]]="","",IF(D132="","",INT(D132/1000)&amp;"+"&amp;TEXT(MOD(D132,1000),"000.00")))</f>
        <v/>
      </c>
      <c r="J132" t="str">
        <f>IF(B132="","",IFERROR(_xlfn.XLOOKUP(B132,TableLibrarySigns[Block],TableLibrarySigns[Material]),""))</f>
        <v/>
      </c>
      <c r="K132" t="str">
        <f>IF(B132="","",IFERROR(_xlfn.XLOOKUP(B132,TableLibrarySigns[Block],TableLibrarySigns[RotationMode]),""))</f>
        <v/>
      </c>
      <c r="L132" t="str">
        <f>IF(B132="","",IFERROR(_xlfn.XLOOKUP(B132,TableLibrarySigns[Block],TableLibrarySigns[Layer]),""))</f>
        <v/>
      </c>
      <c r="M132" t="str">
        <f>IF(B132="","",IFERROR(_xlfn.XLOOKUP(B132,TableLibrarySigns[Block],TableLibrarySigns[DWGName]),""))</f>
        <v/>
      </c>
      <c r="N132" t="str">
        <f>IF(B132="","",IFERROR(_xlfn.XLOOKUP(B132,TableLibrarySigns[Block],TableLibrarySigns[SignCode]),""))</f>
        <v/>
      </c>
      <c r="O132" t="str">
        <f>IF(B132="","",IFERROR(_xlfn.XLOOKUP(B132,TableLibrarySigns[Block],TableLibrarySigns[IFCEntity]),""))</f>
        <v/>
      </c>
      <c r="P132" t="str">
        <f>IF(B132="","",IFERROR(_xlfn.XLOOKUP(B132,TableLibrarySigns[Block],TableLibrarySigns[Category]),""))</f>
        <v/>
      </c>
      <c r="Q132" t="str">
        <f>IF(B132="","",IFERROR(_xlfn.XLOOKUP(B132,TableLibrarySigns[Block],TableLibrarySigns[Normative]),""))</f>
        <v/>
      </c>
      <c r="R132" t="str">
        <f>IF(B132="","",IFERROR(_xlfn.XLOOKUP(B132,TableLibrarySigns[Block],TableLibrarySigns[Description]),""))</f>
        <v/>
      </c>
      <c r="S132" t="str">
        <f t="shared" si="10"/>
        <v/>
      </c>
      <c r="T132" t="str">
        <f>IF(B132="","",IFERROR(_xlfn.XLOOKUP(B132,TableLibrarySigns[Block],TableLibrarySigns[UnitTime]),""))</f>
        <v/>
      </c>
      <c r="U132" t="str">
        <f>IF(B132="","",IFERROR(_xlfn.XLOOKUP(B132,TableLibrarySigns[Block],TableLibrarySigns[UnitCost]),""))</f>
        <v/>
      </c>
      <c r="V132" t="str">
        <f t="shared" si="11"/>
        <v/>
      </c>
    </row>
    <row r="133" spans="1:22" ht="16.8" customHeight="1">
      <c r="A133" t="str">
        <f t="shared" si="12"/>
        <v/>
      </c>
      <c r="D133" s="2"/>
      <c r="E133" s="6" t="str">
        <f>IF(SignsTable[[#This Row],[PKValue]]="","",IF(D133="","",INT(D133/1000)&amp;"+"&amp;TEXT(MOD(D133,1000),"000.00")))</f>
        <v/>
      </c>
      <c r="J133" t="str">
        <f>IF(B133="","",IFERROR(_xlfn.XLOOKUP(B133,TableLibrarySigns[Block],TableLibrarySigns[Material]),""))</f>
        <v/>
      </c>
      <c r="K133" t="str">
        <f>IF(B133="","",IFERROR(_xlfn.XLOOKUP(B133,TableLibrarySigns[Block],TableLibrarySigns[RotationMode]),""))</f>
        <v/>
      </c>
      <c r="L133" t="str">
        <f>IF(B133="","",IFERROR(_xlfn.XLOOKUP(B133,TableLibrarySigns[Block],TableLibrarySigns[Layer]),""))</f>
        <v/>
      </c>
      <c r="M133" t="str">
        <f>IF(B133="","",IFERROR(_xlfn.XLOOKUP(B133,TableLibrarySigns[Block],TableLibrarySigns[DWGName]),""))</f>
        <v/>
      </c>
      <c r="N133" t="str">
        <f>IF(B133="","",IFERROR(_xlfn.XLOOKUP(B133,TableLibrarySigns[Block],TableLibrarySigns[SignCode]),""))</f>
        <v/>
      </c>
      <c r="O133" t="str">
        <f>IF(B133="","",IFERROR(_xlfn.XLOOKUP(B133,TableLibrarySigns[Block],TableLibrarySigns[IFCEntity]),""))</f>
        <v/>
      </c>
      <c r="P133" t="str">
        <f>IF(B133="","",IFERROR(_xlfn.XLOOKUP(B133,TableLibrarySigns[Block],TableLibrarySigns[Category]),""))</f>
        <v/>
      </c>
      <c r="Q133" t="str">
        <f>IF(B133="","",IFERROR(_xlfn.XLOOKUP(B133,TableLibrarySigns[Block],TableLibrarySigns[Normative]),""))</f>
        <v/>
      </c>
      <c r="R133" t="str">
        <f>IF(B133="","",IFERROR(_xlfn.XLOOKUP(B133,TableLibrarySigns[Block],TableLibrarySigns[Description]),""))</f>
        <v/>
      </c>
      <c r="S133" t="str">
        <f t="shared" si="10"/>
        <v/>
      </c>
      <c r="T133" t="str">
        <f>IF(B133="","",IFERROR(_xlfn.XLOOKUP(B133,TableLibrarySigns[Block],TableLibrarySigns[UnitTime]),""))</f>
        <v/>
      </c>
      <c r="U133" t="str">
        <f>IF(B133="","",IFERROR(_xlfn.XLOOKUP(B133,TableLibrarySigns[Block],TableLibrarySigns[UnitCost]),""))</f>
        <v/>
      </c>
      <c r="V133" t="str">
        <f t="shared" si="11"/>
        <v/>
      </c>
    </row>
    <row r="134" spans="1:22" ht="16.8" customHeight="1">
      <c r="A134" t="str">
        <f t="shared" si="12"/>
        <v/>
      </c>
      <c r="D134" s="2"/>
      <c r="E134" s="6" t="str">
        <f>IF(SignsTable[[#This Row],[PKValue]]="","",IF(D134="","",INT(D134/1000)&amp;"+"&amp;TEXT(MOD(D134,1000),"000.00")))</f>
        <v/>
      </c>
      <c r="J134" t="str">
        <f>IF(B134="","",IFERROR(_xlfn.XLOOKUP(B134,TableLibrarySigns[Block],TableLibrarySigns[Material]),""))</f>
        <v/>
      </c>
      <c r="K134" t="str">
        <f>IF(B134="","",IFERROR(_xlfn.XLOOKUP(B134,TableLibrarySigns[Block],TableLibrarySigns[RotationMode]),""))</f>
        <v/>
      </c>
      <c r="L134" t="str">
        <f>IF(B134="","",IFERROR(_xlfn.XLOOKUP(B134,TableLibrarySigns[Block],TableLibrarySigns[Layer]),""))</f>
        <v/>
      </c>
      <c r="M134" t="str">
        <f>IF(B134="","",IFERROR(_xlfn.XLOOKUP(B134,TableLibrarySigns[Block],TableLibrarySigns[DWGName]),""))</f>
        <v/>
      </c>
      <c r="N134" t="str">
        <f>IF(B134="","",IFERROR(_xlfn.XLOOKUP(B134,TableLibrarySigns[Block],TableLibrarySigns[SignCode]),""))</f>
        <v/>
      </c>
      <c r="O134" t="str">
        <f>IF(B134="","",IFERROR(_xlfn.XLOOKUP(B134,TableLibrarySigns[Block],TableLibrarySigns[IFCEntity]),""))</f>
        <v/>
      </c>
      <c r="P134" t="str">
        <f>IF(B134="","",IFERROR(_xlfn.XLOOKUP(B134,TableLibrarySigns[Block],TableLibrarySigns[Category]),""))</f>
        <v/>
      </c>
      <c r="Q134" t="str">
        <f>IF(B134="","",IFERROR(_xlfn.XLOOKUP(B134,TableLibrarySigns[Block],TableLibrarySigns[Normative]),""))</f>
        <v/>
      </c>
      <c r="R134" t="str">
        <f>IF(B134="","",IFERROR(_xlfn.XLOOKUP(B134,TableLibrarySigns[Block],TableLibrarySigns[Description]),""))</f>
        <v/>
      </c>
      <c r="S134" t="str">
        <f t="shared" si="10"/>
        <v/>
      </c>
      <c r="T134" t="str">
        <f>IF(B134="","",IFERROR(_xlfn.XLOOKUP(B134,TableLibrarySigns[Block],TableLibrarySigns[UnitTime]),""))</f>
        <v/>
      </c>
      <c r="U134" t="str">
        <f>IF(B134="","",IFERROR(_xlfn.XLOOKUP(B134,TableLibrarySigns[Block],TableLibrarySigns[UnitCost]),""))</f>
        <v/>
      </c>
      <c r="V134" t="str">
        <f t="shared" si="11"/>
        <v/>
      </c>
    </row>
    <row r="135" spans="1:22" ht="16.8" customHeight="1">
      <c r="A135" t="str">
        <f t="shared" si="12"/>
        <v/>
      </c>
      <c r="D135" s="2"/>
      <c r="E135" s="6" t="str">
        <f>IF(SignsTable[[#This Row],[PKValue]]="","",IF(D135="","",INT(D135/1000)&amp;"+"&amp;TEXT(MOD(D135,1000),"000.00")))</f>
        <v/>
      </c>
      <c r="J135" t="str">
        <f>IF(B135="","",IFERROR(_xlfn.XLOOKUP(B135,TableLibrarySigns[Block],TableLibrarySigns[Material]),""))</f>
        <v/>
      </c>
      <c r="K135" t="str">
        <f>IF(B135="","",IFERROR(_xlfn.XLOOKUP(B135,TableLibrarySigns[Block],TableLibrarySigns[RotationMode]),""))</f>
        <v/>
      </c>
      <c r="L135" t="str">
        <f>IF(B135="","",IFERROR(_xlfn.XLOOKUP(B135,TableLibrarySigns[Block],TableLibrarySigns[Layer]),""))</f>
        <v/>
      </c>
      <c r="M135" t="str">
        <f>IF(B135="","",IFERROR(_xlfn.XLOOKUP(B135,TableLibrarySigns[Block],TableLibrarySigns[DWGName]),""))</f>
        <v/>
      </c>
      <c r="N135" t="str">
        <f>IF(B135="","",IFERROR(_xlfn.XLOOKUP(B135,TableLibrarySigns[Block],TableLibrarySigns[SignCode]),""))</f>
        <v/>
      </c>
      <c r="O135" t="str">
        <f>IF(B135="","",IFERROR(_xlfn.XLOOKUP(B135,TableLibrarySigns[Block],TableLibrarySigns[IFCEntity]),""))</f>
        <v/>
      </c>
      <c r="P135" t="str">
        <f>IF(B135="","",IFERROR(_xlfn.XLOOKUP(B135,TableLibrarySigns[Block],TableLibrarySigns[Category]),""))</f>
        <v/>
      </c>
      <c r="Q135" t="str">
        <f>IF(B135="","",IFERROR(_xlfn.XLOOKUP(B135,TableLibrarySigns[Block],TableLibrarySigns[Normative]),""))</f>
        <v/>
      </c>
      <c r="R135" t="str">
        <f>IF(B135="","",IFERROR(_xlfn.XLOOKUP(B135,TableLibrarySigns[Block],TableLibrarySigns[Description]),""))</f>
        <v/>
      </c>
      <c r="S135" t="str">
        <f t="shared" si="10"/>
        <v/>
      </c>
      <c r="T135" t="str">
        <f>IF(B135="","",IFERROR(_xlfn.XLOOKUP(B135,TableLibrarySigns[Block],TableLibrarySigns[UnitTime]),""))</f>
        <v/>
      </c>
      <c r="U135" t="str">
        <f>IF(B135="","",IFERROR(_xlfn.XLOOKUP(B135,TableLibrarySigns[Block],TableLibrarySigns[UnitCost]),""))</f>
        <v/>
      </c>
      <c r="V135" t="str">
        <f t="shared" si="11"/>
        <v/>
      </c>
    </row>
    <row r="136" spans="1:22" ht="16.8" customHeight="1">
      <c r="A136" t="str">
        <f t="shared" si="12"/>
        <v/>
      </c>
      <c r="D136" s="2"/>
      <c r="E136" s="6" t="str">
        <f>IF(SignsTable[[#This Row],[PKValue]]="","",IF(D136="","",INT(D136/1000)&amp;"+"&amp;TEXT(MOD(D136,1000),"000.00")))</f>
        <v/>
      </c>
      <c r="J136" t="str">
        <f>IF(B136="","",IFERROR(_xlfn.XLOOKUP(B136,TableLibrarySigns[Block],TableLibrarySigns[Material]),""))</f>
        <v/>
      </c>
      <c r="K136" t="str">
        <f>IF(B136="","",IFERROR(_xlfn.XLOOKUP(B136,TableLibrarySigns[Block],TableLibrarySigns[RotationMode]),""))</f>
        <v/>
      </c>
      <c r="L136" t="str">
        <f>IF(B136="","",IFERROR(_xlfn.XLOOKUP(B136,TableLibrarySigns[Block],TableLibrarySigns[Layer]),""))</f>
        <v/>
      </c>
      <c r="M136" t="str">
        <f>IF(B136="","",IFERROR(_xlfn.XLOOKUP(B136,TableLibrarySigns[Block],TableLibrarySigns[DWGName]),""))</f>
        <v/>
      </c>
      <c r="N136" t="str">
        <f>IF(B136="","",IFERROR(_xlfn.XLOOKUP(B136,TableLibrarySigns[Block],TableLibrarySigns[SignCode]),""))</f>
        <v/>
      </c>
      <c r="O136" t="str">
        <f>IF(B136="","",IFERROR(_xlfn.XLOOKUP(B136,TableLibrarySigns[Block],TableLibrarySigns[IFCEntity]),""))</f>
        <v/>
      </c>
      <c r="P136" t="str">
        <f>IF(B136="","",IFERROR(_xlfn.XLOOKUP(B136,TableLibrarySigns[Block],TableLibrarySigns[Category]),""))</f>
        <v/>
      </c>
      <c r="Q136" t="str">
        <f>IF(B136="","",IFERROR(_xlfn.XLOOKUP(B136,TableLibrarySigns[Block],TableLibrarySigns[Normative]),""))</f>
        <v/>
      </c>
      <c r="R136" t="str">
        <f>IF(B136="","",IFERROR(_xlfn.XLOOKUP(B136,TableLibrarySigns[Block],TableLibrarySigns[Description]),""))</f>
        <v/>
      </c>
      <c r="S136" t="str">
        <f t="shared" si="10"/>
        <v/>
      </c>
      <c r="T136" t="str">
        <f>IF(B136="","",IFERROR(_xlfn.XLOOKUP(B136,TableLibrarySigns[Block],TableLibrarySigns[UnitTime]),""))</f>
        <v/>
      </c>
      <c r="U136" t="str">
        <f>IF(B136="","",IFERROR(_xlfn.XLOOKUP(B136,TableLibrarySigns[Block],TableLibrarySigns[UnitCost]),""))</f>
        <v/>
      </c>
      <c r="V136" t="str">
        <f t="shared" si="11"/>
        <v/>
      </c>
    </row>
    <row r="137" spans="1:22" ht="16.8" customHeight="1">
      <c r="A137" t="str">
        <f t="shared" si="12"/>
        <v/>
      </c>
      <c r="D137" s="2"/>
      <c r="E137" s="6" t="str">
        <f>IF(SignsTable[[#This Row],[PKValue]]="","",IF(D137="","",INT(D137/1000)&amp;"+"&amp;TEXT(MOD(D137,1000),"000.00")))</f>
        <v/>
      </c>
      <c r="J137" t="str">
        <f>IF(B137="","",IFERROR(_xlfn.XLOOKUP(B137,TableLibrarySigns[Block],TableLibrarySigns[Material]),""))</f>
        <v/>
      </c>
      <c r="K137" t="str">
        <f>IF(B137="","",IFERROR(_xlfn.XLOOKUP(B137,TableLibrarySigns[Block],TableLibrarySigns[RotationMode]),""))</f>
        <v/>
      </c>
      <c r="L137" t="str">
        <f>IF(B137="","",IFERROR(_xlfn.XLOOKUP(B137,TableLibrarySigns[Block],TableLibrarySigns[Layer]),""))</f>
        <v/>
      </c>
      <c r="M137" t="str">
        <f>IF(B137="","",IFERROR(_xlfn.XLOOKUP(B137,TableLibrarySigns[Block],TableLibrarySigns[DWGName]),""))</f>
        <v/>
      </c>
      <c r="N137" t="str">
        <f>IF(B137="","",IFERROR(_xlfn.XLOOKUP(B137,TableLibrarySigns[Block],TableLibrarySigns[SignCode]),""))</f>
        <v/>
      </c>
      <c r="O137" t="str">
        <f>IF(B137="","",IFERROR(_xlfn.XLOOKUP(B137,TableLibrarySigns[Block],TableLibrarySigns[IFCEntity]),""))</f>
        <v/>
      </c>
      <c r="P137" t="str">
        <f>IF(B137="","",IFERROR(_xlfn.XLOOKUP(B137,TableLibrarySigns[Block],TableLibrarySigns[Category]),""))</f>
        <v/>
      </c>
      <c r="Q137" t="str">
        <f>IF(B137="","",IFERROR(_xlfn.XLOOKUP(B137,TableLibrarySigns[Block],TableLibrarySigns[Normative]),""))</f>
        <v/>
      </c>
      <c r="R137" t="str">
        <f>IF(B137="","",IFERROR(_xlfn.XLOOKUP(B137,TableLibrarySigns[Block],TableLibrarySigns[Description]),""))</f>
        <v/>
      </c>
      <c r="S137" t="str">
        <f t="shared" si="10"/>
        <v/>
      </c>
      <c r="T137" t="str">
        <f>IF(B137="","",IFERROR(_xlfn.XLOOKUP(B137,TableLibrarySigns[Block],TableLibrarySigns[UnitTime]),""))</f>
        <v/>
      </c>
      <c r="U137" t="str">
        <f>IF(B137="","",IFERROR(_xlfn.XLOOKUP(B137,TableLibrarySigns[Block],TableLibrarySigns[UnitCost]),""))</f>
        <v/>
      </c>
      <c r="V137" t="str">
        <f t="shared" si="11"/>
        <v/>
      </c>
    </row>
    <row r="138" spans="1:22" ht="16.8" customHeight="1">
      <c r="A138" t="str">
        <f t="shared" si="12"/>
        <v/>
      </c>
      <c r="D138" s="2"/>
      <c r="E138" s="6" t="str">
        <f>IF(SignsTable[[#This Row],[PKValue]]="","",IF(D138="","",INT(D138/1000)&amp;"+"&amp;TEXT(MOD(D138,1000),"000.00")))</f>
        <v/>
      </c>
      <c r="J138" t="str">
        <f>IF(B138="","",IFERROR(_xlfn.XLOOKUP(B138,TableLibrarySigns[Block],TableLibrarySigns[Material]),""))</f>
        <v/>
      </c>
      <c r="K138" t="str">
        <f>IF(B138="","",IFERROR(_xlfn.XLOOKUP(B138,TableLibrarySigns[Block],TableLibrarySigns[RotationMode]),""))</f>
        <v/>
      </c>
      <c r="L138" t="str">
        <f>IF(B138="","",IFERROR(_xlfn.XLOOKUP(B138,TableLibrarySigns[Block],TableLibrarySigns[Layer]),""))</f>
        <v/>
      </c>
      <c r="M138" t="str">
        <f>IF(B138="","",IFERROR(_xlfn.XLOOKUP(B138,TableLibrarySigns[Block],TableLibrarySigns[DWGName]),""))</f>
        <v/>
      </c>
      <c r="N138" t="str">
        <f>IF(B138="","",IFERROR(_xlfn.XLOOKUP(B138,TableLibrarySigns[Block],TableLibrarySigns[SignCode]),""))</f>
        <v/>
      </c>
      <c r="O138" t="str">
        <f>IF(B138="","",IFERROR(_xlfn.XLOOKUP(B138,TableLibrarySigns[Block],TableLibrarySigns[IFCEntity]),""))</f>
        <v/>
      </c>
      <c r="P138" t="str">
        <f>IF(B138="","",IFERROR(_xlfn.XLOOKUP(B138,TableLibrarySigns[Block],TableLibrarySigns[Category]),""))</f>
        <v/>
      </c>
      <c r="Q138" t="str">
        <f>IF(B138="","",IFERROR(_xlfn.XLOOKUP(B138,TableLibrarySigns[Block],TableLibrarySigns[Normative]),""))</f>
        <v/>
      </c>
      <c r="R138" t="str">
        <f>IF(B138="","",IFERROR(_xlfn.XLOOKUP(B138,TableLibrarySigns[Block],TableLibrarySigns[Description]),""))</f>
        <v/>
      </c>
      <c r="S138" t="str">
        <f t="shared" si="10"/>
        <v/>
      </c>
      <c r="T138" t="str">
        <f>IF(B138="","",IFERROR(_xlfn.XLOOKUP(B138,TableLibrarySigns[Block],TableLibrarySigns[UnitTime]),""))</f>
        <v/>
      </c>
      <c r="U138" t="str">
        <f>IF(B138="","",IFERROR(_xlfn.XLOOKUP(B138,TableLibrarySigns[Block],TableLibrarySigns[UnitCost]),""))</f>
        <v/>
      </c>
      <c r="V138" t="str">
        <f t="shared" si="11"/>
        <v/>
      </c>
    </row>
    <row r="139" spans="1:22" ht="16.8" customHeight="1">
      <c r="A139" t="str">
        <f t="shared" si="12"/>
        <v/>
      </c>
      <c r="D139" s="2"/>
      <c r="E139" s="6" t="str">
        <f>IF(SignsTable[[#This Row],[PKValue]]="","",IF(D139="","",INT(D139/1000)&amp;"+"&amp;TEXT(MOD(D139,1000),"000.00")))</f>
        <v/>
      </c>
      <c r="J139" t="str">
        <f>IF(B139="","",IFERROR(_xlfn.XLOOKUP(B139,TableLibrarySigns[Block],TableLibrarySigns[Material]),""))</f>
        <v/>
      </c>
      <c r="K139" t="str">
        <f>IF(B139="","",IFERROR(_xlfn.XLOOKUP(B139,TableLibrarySigns[Block],TableLibrarySigns[RotationMode]),""))</f>
        <v/>
      </c>
      <c r="L139" t="str">
        <f>IF(B139="","",IFERROR(_xlfn.XLOOKUP(B139,TableLibrarySigns[Block],TableLibrarySigns[Layer]),""))</f>
        <v/>
      </c>
      <c r="M139" t="str">
        <f>IF(B139="","",IFERROR(_xlfn.XLOOKUP(B139,TableLibrarySigns[Block],TableLibrarySigns[DWGName]),""))</f>
        <v/>
      </c>
      <c r="N139" t="str">
        <f>IF(B139="","",IFERROR(_xlfn.XLOOKUP(B139,TableLibrarySigns[Block],TableLibrarySigns[SignCode]),""))</f>
        <v/>
      </c>
      <c r="O139" t="str">
        <f>IF(B139="","",IFERROR(_xlfn.XLOOKUP(B139,TableLibrarySigns[Block],TableLibrarySigns[IFCEntity]),""))</f>
        <v/>
      </c>
      <c r="P139" t="str">
        <f>IF(B139="","",IFERROR(_xlfn.XLOOKUP(B139,TableLibrarySigns[Block],TableLibrarySigns[Category]),""))</f>
        <v/>
      </c>
      <c r="Q139" t="str">
        <f>IF(B139="","",IFERROR(_xlfn.XLOOKUP(B139,TableLibrarySigns[Block],TableLibrarySigns[Normative]),""))</f>
        <v/>
      </c>
      <c r="R139" t="str">
        <f>IF(B139="","",IFERROR(_xlfn.XLOOKUP(B139,TableLibrarySigns[Block],TableLibrarySigns[Description]),""))</f>
        <v/>
      </c>
      <c r="S139" t="str">
        <f t="shared" si="10"/>
        <v/>
      </c>
      <c r="T139" t="str">
        <f>IF(B139="","",IFERROR(_xlfn.XLOOKUP(B139,TableLibrarySigns[Block],TableLibrarySigns[UnitTime]),""))</f>
        <v/>
      </c>
      <c r="U139" t="str">
        <f>IF(B139="","",IFERROR(_xlfn.XLOOKUP(B139,TableLibrarySigns[Block],TableLibrarySigns[UnitCost]),""))</f>
        <v/>
      </c>
      <c r="V139" t="str">
        <f t="shared" si="11"/>
        <v/>
      </c>
    </row>
    <row r="140" spans="1:22" ht="16.8" customHeight="1">
      <c r="A140" t="str">
        <f t="shared" si="12"/>
        <v/>
      </c>
      <c r="D140" s="2"/>
      <c r="E140" s="6" t="str">
        <f>IF(SignsTable[[#This Row],[PKValue]]="","",IF(D140="","",INT(D140/1000)&amp;"+"&amp;TEXT(MOD(D140,1000),"000.00")))</f>
        <v/>
      </c>
      <c r="J140" t="str">
        <f>IF(B140="","",IFERROR(_xlfn.XLOOKUP(B140,TableLibrarySigns[Block],TableLibrarySigns[Material]),""))</f>
        <v/>
      </c>
      <c r="K140" t="str">
        <f>IF(B140="","",IFERROR(_xlfn.XLOOKUP(B140,TableLibrarySigns[Block],TableLibrarySigns[RotationMode]),""))</f>
        <v/>
      </c>
      <c r="L140" t="str">
        <f>IF(B140="","",IFERROR(_xlfn.XLOOKUP(B140,TableLibrarySigns[Block],TableLibrarySigns[Layer]),""))</f>
        <v/>
      </c>
      <c r="M140" t="str">
        <f>IF(B140="","",IFERROR(_xlfn.XLOOKUP(B140,TableLibrarySigns[Block],TableLibrarySigns[DWGName]),""))</f>
        <v/>
      </c>
      <c r="N140" t="str">
        <f>IF(B140="","",IFERROR(_xlfn.XLOOKUP(B140,TableLibrarySigns[Block],TableLibrarySigns[SignCode]),""))</f>
        <v/>
      </c>
      <c r="O140" t="str">
        <f>IF(B140="","",IFERROR(_xlfn.XLOOKUP(B140,TableLibrarySigns[Block],TableLibrarySigns[IFCEntity]),""))</f>
        <v/>
      </c>
      <c r="P140" t="str">
        <f>IF(B140="","",IFERROR(_xlfn.XLOOKUP(B140,TableLibrarySigns[Block],TableLibrarySigns[Category]),""))</f>
        <v/>
      </c>
      <c r="Q140" t="str">
        <f>IF(B140="","",IFERROR(_xlfn.XLOOKUP(B140,TableLibrarySigns[Block],TableLibrarySigns[Normative]),""))</f>
        <v/>
      </c>
      <c r="R140" t="str">
        <f>IF(B140="","",IFERROR(_xlfn.XLOOKUP(B140,TableLibrarySigns[Block],TableLibrarySigns[Description]),""))</f>
        <v/>
      </c>
      <c r="S140" t="str">
        <f t="shared" si="10"/>
        <v/>
      </c>
      <c r="T140" t="str">
        <f>IF(B140="","",IFERROR(_xlfn.XLOOKUP(B140,TableLibrarySigns[Block],TableLibrarySigns[UnitTime]),""))</f>
        <v/>
      </c>
      <c r="U140" t="str">
        <f>IF(B140="","",IFERROR(_xlfn.XLOOKUP(B140,TableLibrarySigns[Block],TableLibrarySigns[UnitCost]),""))</f>
        <v/>
      </c>
      <c r="V140" t="str">
        <f t="shared" si="11"/>
        <v/>
      </c>
    </row>
    <row r="141" spans="1:22" ht="16.8" customHeight="1">
      <c r="A141" t="str">
        <f t="shared" si="12"/>
        <v/>
      </c>
      <c r="D141" s="2"/>
      <c r="E141" s="6" t="str">
        <f>IF(SignsTable[[#This Row],[PKValue]]="","",IF(D141="","",INT(D141/1000)&amp;"+"&amp;TEXT(MOD(D141,1000),"000.00")))</f>
        <v/>
      </c>
      <c r="J141" t="str">
        <f>IF(B141="","",IFERROR(_xlfn.XLOOKUP(B141,TableLibrarySigns[Block],TableLibrarySigns[Material]),""))</f>
        <v/>
      </c>
      <c r="K141" t="str">
        <f>IF(B141="","",IFERROR(_xlfn.XLOOKUP(B141,TableLibrarySigns[Block],TableLibrarySigns[RotationMode]),""))</f>
        <v/>
      </c>
      <c r="L141" t="str">
        <f>IF(B141="","",IFERROR(_xlfn.XLOOKUP(B141,TableLibrarySigns[Block],TableLibrarySigns[Layer]),""))</f>
        <v/>
      </c>
      <c r="M141" t="str">
        <f>IF(B141="","",IFERROR(_xlfn.XLOOKUP(B141,TableLibrarySigns[Block],TableLibrarySigns[DWGName]),""))</f>
        <v/>
      </c>
      <c r="N141" t="str">
        <f>IF(B141="","",IFERROR(_xlfn.XLOOKUP(B141,TableLibrarySigns[Block],TableLibrarySigns[SignCode]),""))</f>
        <v/>
      </c>
      <c r="O141" t="str">
        <f>IF(B141="","",IFERROR(_xlfn.XLOOKUP(B141,TableLibrarySigns[Block],TableLibrarySigns[IFCEntity]),""))</f>
        <v/>
      </c>
      <c r="P141" t="str">
        <f>IF(B141="","",IFERROR(_xlfn.XLOOKUP(B141,TableLibrarySigns[Block],TableLibrarySigns[Category]),""))</f>
        <v/>
      </c>
      <c r="Q141" t="str">
        <f>IF(B141="","",IFERROR(_xlfn.XLOOKUP(B141,TableLibrarySigns[Block],TableLibrarySigns[Normative]),""))</f>
        <v/>
      </c>
      <c r="R141" t="str">
        <f>IF(B141="","",IFERROR(_xlfn.XLOOKUP(B141,TableLibrarySigns[Block],TableLibrarySigns[Description]),""))</f>
        <v/>
      </c>
      <c r="S141" t="str">
        <f t="shared" si="10"/>
        <v/>
      </c>
      <c r="T141" t="str">
        <f>IF(B141="","",IFERROR(_xlfn.XLOOKUP(B141,TableLibrarySigns[Block],TableLibrarySigns[UnitTime]),""))</f>
        <v/>
      </c>
      <c r="U141" t="str">
        <f>IF(B141="","",IFERROR(_xlfn.XLOOKUP(B141,TableLibrarySigns[Block],TableLibrarySigns[UnitCost]),""))</f>
        <v/>
      </c>
      <c r="V141" t="str">
        <f t="shared" si="11"/>
        <v/>
      </c>
    </row>
    <row r="142" spans="1:22" ht="16.8" customHeight="1">
      <c r="A142" t="str">
        <f t="shared" si="12"/>
        <v/>
      </c>
      <c r="D142" s="2"/>
      <c r="E142" s="6" t="str">
        <f>IF(SignsTable[[#This Row],[PKValue]]="","",IF(D142="","",INT(D142/1000)&amp;"+"&amp;TEXT(MOD(D142,1000),"000.00")))</f>
        <v/>
      </c>
      <c r="J142" t="str">
        <f>IF(B142="","",IFERROR(_xlfn.XLOOKUP(B142,TableLibrarySigns[Block],TableLibrarySigns[Material]),""))</f>
        <v/>
      </c>
      <c r="K142" t="str">
        <f>IF(B142="","",IFERROR(_xlfn.XLOOKUP(B142,TableLibrarySigns[Block],TableLibrarySigns[RotationMode]),""))</f>
        <v/>
      </c>
      <c r="L142" t="str">
        <f>IF(B142="","",IFERROR(_xlfn.XLOOKUP(B142,TableLibrarySigns[Block],TableLibrarySigns[Layer]),""))</f>
        <v/>
      </c>
      <c r="M142" t="str">
        <f>IF(B142="","",IFERROR(_xlfn.XLOOKUP(B142,TableLibrarySigns[Block],TableLibrarySigns[DWGName]),""))</f>
        <v/>
      </c>
      <c r="N142" t="str">
        <f>IF(B142="","",IFERROR(_xlfn.XLOOKUP(B142,TableLibrarySigns[Block],TableLibrarySigns[SignCode]),""))</f>
        <v/>
      </c>
      <c r="O142" t="str">
        <f>IF(B142="","",IFERROR(_xlfn.XLOOKUP(B142,TableLibrarySigns[Block],TableLibrarySigns[IFCEntity]),""))</f>
        <v/>
      </c>
      <c r="P142" t="str">
        <f>IF(B142="","",IFERROR(_xlfn.XLOOKUP(B142,TableLibrarySigns[Block],TableLibrarySigns[Category]),""))</f>
        <v/>
      </c>
      <c r="Q142" t="str">
        <f>IF(B142="","",IFERROR(_xlfn.XLOOKUP(B142,TableLibrarySigns[Block],TableLibrarySigns[Normative]),""))</f>
        <v/>
      </c>
      <c r="R142" t="str">
        <f>IF(B142="","",IFERROR(_xlfn.XLOOKUP(B142,TableLibrarySigns[Block],TableLibrarySigns[Description]),""))</f>
        <v/>
      </c>
      <c r="S142" t="str">
        <f t="shared" si="10"/>
        <v/>
      </c>
      <c r="T142" t="str">
        <f>IF(B142="","",IFERROR(_xlfn.XLOOKUP(B142,TableLibrarySigns[Block],TableLibrarySigns[UnitTime]),""))</f>
        <v/>
      </c>
      <c r="U142" t="str">
        <f>IF(B142="","",IFERROR(_xlfn.XLOOKUP(B142,TableLibrarySigns[Block],TableLibrarySigns[UnitCost]),""))</f>
        <v/>
      </c>
      <c r="V142" t="str">
        <f t="shared" si="11"/>
        <v/>
      </c>
    </row>
    <row r="143" spans="1:22" ht="16.8" customHeight="1">
      <c r="A143" t="str">
        <f t="shared" si="12"/>
        <v/>
      </c>
      <c r="D143" s="2"/>
      <c r="E143" s="6" t="str">
        <f>IF(SignsTable[[#This Row],[PKValue]]="","",IF(D143="","",INT(D143/1000)&amp;"+"&amp;TEXT(MOD(D143,1000),"000.00")))</f>
        <v/>
      </c>
      <c r="J143" t="str">
        <f>IF(B143="","",IFERROR(_xlfn.XLOOKUP(B143,TableLibrarySigns[Block],TableLibrarySigns[Material]),""))</f>
        <v/>
      </c>
      <c r="K143" t="str">
        <f>IF(B143="","",IFERROR(_xlfn.XLOOKUP(B143,TableLibrarySigns[Block],TableLibrarySigns[RotationMode]),""))</f>
        <v/>
      </c>
      <c r="L143" t="str">
        <f>IF(B143="","",IFERROR(_xlfn.XLOOKUP(B143,TableLibrarySigns[Block],TableLibrarySigns[Layer]),""))</f>
        <v/>
      </c>
      <c r="M143" t="str">
        <f>IF(B143="","",IFERROR(_xlfn.XLOOKUP(B143,TableLibrarySigns[Block],TableLibrarySigns[DWGName]),""))</f>
        <v/>
      </c>
      <c r="N143" t="str">
        <f>IF(B143="","",IFERROR(_xlfn.XLOOKUP(B143,TableLibrarySigns[Block],TableLibrarySigns[SignCode]),""))</f>
        <v/>
      </c>
      <c r="O143" t="str">
        <f>IF(B143="","",IFERROR(_xlfn.XLOOKUP(B143,TableLibrarySigns[Block],TableLibrarySigns[IFCEntity]),""))</f>
        <v/>
      </c>
      <c r="P143" t="str">
        <f>IF(B143="","",IFERROR(_xlfn.XLOOKUP(B143,TableLibrarySigns[Block],TableLibrarySigns[Category]),""))</f>
        <v/>
      </c>
      <c r="Q143" t="str">
        <f>IF(B143="","",IFERROR(_xlfn.XLOOKUP(B143,TableLibrarySigns[Block],TableLibrarySigns[Normative]),""))</f>
        <v/>
      </c>
      <c r="R143" t="str">
        <f>IF(B143="","",IFERROR(_xlfn.XLOOKUP(B143,TableLibrarySigns[Block],TableLibrarySigns[Description]),""))</f>
        <v/>
      </c>
      <c r="S143" t="str">
        <f t="shared" si="10"/>
        <v/>
      </c>
      <c r="T143" t="str">
        <f>IF(B143="","",IFERROR(_xlfn.XLOOKUP(B143,TableLibrarySigns[Block],TableLibrarySigns[UnitTime]),""))</f>
        <v/>
      </c>
      <c r="U143" t="str">
        <f>IF(B143="","",IFERROR(_xlfn.XLOOKUP(B143,TableLibrarySigns[Block],TableLibrarySigns[UnitCost]),""))</f>
        <v/>
      </c>
      <c r="V143" t="str">
        <f t="shared" si="11"/>
        <v/>
      </c>
    </row>
    <row r="144" spans="1:22" ht="16.8" customHeight="1">
      <c r="A144" t="str">
        <f t="shared" si="12"/>
        <v/>
      </c>
      <c r="D144" s="2"/>
      <c r="E144" s="6" t="str">
        <f>IF(SignsTable[[#This Row],[PKValue]]="","",IF(D144="","",INT(D144/1000)&amp;"+"&amp;TEXT(MOD(D144,1000),"000.00")))</f>
        <v/>
      </c>
      <c r="J144" t="str">
        <f>IF(B144="","",IFERROR(_xlfn.XLOOKUP(B144,TableLibrarySigns[Block],TableLibrarySigns[Material]),""))</f>
        <v/>
      </c>
      <c r="K144" t="str">
        <f>IF(B144="","",IFERROR(_xlfn.XLOOKUP(B144,TableLibrarySigns[Block],TableLibrarySigns[RotationMode]),""))</f>
        <v/>
      </c>
      <c r="L144" t="str">
        <f>IF(B144="","",IFERROR(_xlfn.XLOOKUP(B144,TableLibrarySigns[Block],TableLibrarySigns[Layer]),""))</f>
        <v/>
      </c>
      <c r="M144" t="str">
        <f>IF(B144="","",IFERROR(_xlfn.XLOOKUP(B144,TableLibrarySigns[Block],TableLibrarySigns[DWGName]),""))</f>
        <v/>
      </c>
      <c r="N144" t="str">
        <f>IF(B144="","",IFERROR(_xlfn.XLOOKUP(B144,TableLibrarySigns[Block],TableLibrarySigns[SignCode]),""))</f>
        <v/>
      </c>
      <c r="O144" t="str">
        <f>IF(B144="","",IFERROR(_xlfn.XLOOKUP(B144,TableLibrarySigns[Block],TableLibrarySigns[IFCEntity]),""))</f>
        <v/>
      </c>
      <c r="P144" t="str">
        <f>IF(B144="","",IFERROR(_xlfn.XLOOKUP(B144,TableLibrarySigns[Block],TableLibrarySigns[Category]),""))</f>
        <v/>
      </c>
      <c r="Q144" t="str">
        <f>IF(B144="","",IFERROR(_xlfn.XLOOKUP(B144,TableLibrarySigns[Block],TableLibrarySigns[Normative]),""))</f>
        <v/>
      </c>
      <c r="R144" t="str">
        <f>IF(B144="","",IFERROR(_xlfn.XLOOKUP(B144,TableLibrarySigns[Block],TableLibrarySigns[Description]),""))</f>
        <v/>
      </c>
      <c r="S144" t="str">
        <f t="shared" si="10"/>
        <v/>
      </c>
      <c r="T144" t="str">
        <f>IF(B144="","",IFERROR(_xlfn.XLOOKUP(B144,TableLibrarySigns[Block],TableLibrarySigns[UnitTime]),""))</f>
        <v/>
      </c>
      <c r="U144" t="str">
        <f>IF(B144="","",IFERROR(_xlfn.XLOOKUP(B144,TableLibrarySigns[Block],TableLibrarySigns[UnitCost]),""))</f>
        <v/>
      </c>
      <c r="V144" t="str">
        <f t="shared" si="11"/>
        <v/>
      </c>
    </row>
    <row r="145" spans="1:22" ht="16.8" customHeight="1">
      <c r="A145" t="str">
        <f t="shared" si="12"/>
        <v/>
      </c>
      <c r="D145" s="2"/>
      <c r="E145" s="6" t="str">
        <f>IF(SignsTable[[#This Row],[PKValue]]="","",IF(D145="","",INT(D145/1000)&amp;"+"&amp;TEXT(MOD(D145,1000),"000.00")))</f>
        <v/>
      </c>
      <c r="J145" t="str">
        <f>IF(B145="","",IFERROR(_xlfn.XLOOKUP(B145,TableLibrarySigns[Block],TableLibrarySigns[Material]),""))</f>
        <v/>
      </c>
      <c r="K145" t="str">
        <f>IF(B145="","",IFERROR(_xlfn.XLOOKUP(B145,TableLibrarySigns[Block],TableLibrarySigns[RotationMode]),""))</f>
        <v/>
      </c>
      <c r="L145" t="str">
        <f>IF(B145="","",IFERROR(_xlfn.XLOOKUP(B145,TableLibrarySigns[Block],TableLibrarySigns[Layer]),""))</f>
        <v/>
      </c>
      <c r="M145" t="str">
        <f>IF(B145="","",IFERROR(_xlfn.XLOOKUP(B145,TableLibrarySigns[Block],TableLibrarySigns[DWGName]),""))</f>
        <v/>
      </c>
      <c r="N145" t="str">
        <f>IF(B145="","",IFERROR(_xlfn.XLOOKUP(B145,TableLibrarySigns[Block],TableLibrarySigns[SignCode]),""))</f>
        <v/>
      </c>
      <c r="O145" t="str">
        <f>IF(B145="","",IFERROR(_xlfn.XLOOKUP(B145,TableLibrarySigns[Block],TableLibrarySigns[IFCEntity]),""))</f>
        <v/>
      </c>
      <c r="P145" t="str">
        <f>IF(B145="","",IFERROR(_xlfn.XLOOKUP(B145,TableLibrarySigns[Block],TableLibrarySigns[Category]),""))</f>
        <v/>
      </c>
      <c r="Q145" t="str">
        <f>IF(B145="","",IFERROR(_xlfn.XLOOKUP(B145,TableLibrarySigns[Block],TableLibrarySigns[Normative]),""))</f>
        <v/>
      </c>
      <c r="R145" t="str">
        <f>IF(B145="","",IFERROR(_xlfn.XLOOKUP(B145,TableLibrarySigns[Block],TableLibrarySigns[Description]),""))</f>
        <v/>
      </c>
      <c r="S145" t="str">
        <f t="shared" si="10"/>
        <v/>
      </c>
      <c r="T145" t="str">
        <f>IF(B145="","",IFERROR(_xlfn.XLOOKUP(B145,TableLibrarySigns[Block],TableLibrarySigns[UnitTime]),""))</f>
        <v/>
      </c>
      <c r="U145" t="str">
        <f>IF(B145="","",IFERROR(_xlfn.XLOOKUP(B145,TableLibrarySigns[Block],TableLibrarySigns[UnitCost]),""))</f>
        <v/>
      </c>
      <c r="V145" t="str">
        <f t="shared" si="11"/>
        <v/>
      </c>
    </row>
    <row r="146" spans="1:22" ht="16.8" customHeight="1">
      <c r="A146" t="str">
        <f t="shared" si="12"/>
        <v/>
      </c>
      <c r="D146" s="2"/>
      <c r="E146" s="6" t="str">
        <f>IF(SignsTable[[#This Row],[PKValue]]="","",IF(D146="","",INT(D146/1000)&amp;"+"&amp;TEXT(MOD(D146,1000),"000.00")))</f>
        <v/>
      </c>
      <c r="J146" t="str">
        <f>IF(B146="","",IFERROR(_xlfn.XLOOKUP(B146,TableLibrarySigns[Block],TableLibrarySigns[Material]),""))</f>
        <v/>
      </c>
      <c r="K146" t="str">
        <f>IF(B146="","",IFERROR(_xlfn.XLOOKUP(B146,TableLibrarySigns[Block],TableLibrarySigns[RotationMode]),""))</f>
        <v/>
      </c>
      <c r="L146" t="str">
        <f>IF(B146="","",IFERROR(_xlfn.XLOOKUP(B146,TableLibrarySigns[Block],TableLibrarySigns[Layer]),""))</f>
        <v/>
      </c>
      <c r="M146" t="str">
        <f>IF(B146="","",IFERROR(_xlfn.XLOOKUP(B146,TableLibrarySigns[Block],TableLibrarySigns[DWGName]),""))</f>
        <v/>
      </c>
      <c r="N146" t="str">
        <f>IF(B146="","",IFERROR(_xlfn.XLOOKUP(B146,TableLibrarySigns[Block],TableLibrarySigns[SignCode]),""))</f>
        <v/>
      </c>
      <c r="O146" t="str">
        <f>IF(B146="","",IFERROR(_xlfn.XLOOKUP(B146,TableLibrarySigns[Block],TableLibrarySigns[IFCEntity]),""))</f>
        <v/>
      </c>
      <c r="P146" t="str">
        <f>IF(B146="","",IFERROR(_xlfn.XLOOKUP(B146,TableLibrarySigns[Block],TableLibrarySigns[Category]),""))</f>
        <v/>
      </c>
      <c r="Q146" t="str">
        <f>IF(B146="","",IFERROR(_xlfn.XLOOKUP(B146,TableLibrarySigns[Block],TableLibrarySigns[Normative]),""))</f>
        <v/>
      </c>
      <c r="R146" t="str">
        <f>IF(B146="","",IFERROR(_xlfn.XLOOKUP(B146,TableLibrarySigns[Block],TableLibrarySigns[Description]),""))</f>
        <v/>
      </c>
      <c r="S146" t="str">
        <f t="shared" si="10"/>
        <v/>
      </c>
      <c r="T146" t="str">
        <f>IF(B146="","",IFERROR(_xlfn.XLOOKUP(B146,TableLibrarySigns[Block],TableLibrarySigns[UnitTime]),""))</f>
        <v/>
      </c>
      <c r="U146" t="str">
        <f>IF(B146="","",IFERROR(_xlfn.XLOOKUP(B146,TableLibrarySigns[Block],TableLibrarySigns[UnitCost]),""))</f>
        <v/>
      </c>
      <c r="V146" t="str">
        <f t="shared" si="11"/>
        <v/>
      </c>
    </row>
    <row r="147" spans="1:22" ht="16.8" customHeight="1">
      <c r="A147" t="str">
        <f t="shared" si="12"/>
        <v/>
      </c>
      <c r="D147" s="2"/>
      <c r="E147" s="6" t="str">
        <f>IF(SignsTable[[#This Row],[PKValue]]="","",IF(D147="","",INT(D147/1000)&amp;"+"&amp;TEXT(MOD(D147,1000),"000.00")))</f>
        <v/>
      </c>
      <c r="J147" t="str">
        <f>IF(B147="","",IFERROR(_xlfn.XLOOKUP(B147,TableLibrarySigns[Block],TableLibrarySigns[Material]),""))</f>
        <v/>
      </c>
      <c r="K147" t="str">
        <f>IF(B147="","",IFERROR(_xlfn.XLOOKUP(B147,TableLibrarySigns[Block],TableLibrarySigns[RotationMode]),""))</f>
        <v/>
      </c>
      <c r="L147" t="str">
        <f>IF(B147="","",IFERROR(_xlfn.XLOOKUP(B147,TableLibrarySigns[Block],TableLibrarySigns[Layer]),""))</f>
        <v/>
      </c>
      <c r="M147" t="str">
        <f>IF(B147="","",IFERROR(_xlfn.XLOOKUP(B147,TableLibrarySigns[Block],TableLibrarySigns[DWGName]),""))</f>
        <v/>
      </c>
      <c r="N147" t="str">
        <f>IF(B147="","",IFERROR(_xlfn.XLOOKUP(B147,TableLibrarySigns[Block],TableLibrarySigns[SignCode]),""))</f>
        <v/>
      </c>
      <c r="O147" t="str">
        <f>IF(B147="","",IFERROR(_xlfn.XLOOKUP(B147,TableLibrarySigns[Block],TableLibrarySigns[IFCEntity]),""))</f>
        <v/>
      </c>
      <c r="P147" t="str">
        <f>IF(B147="","",IFERROR(_xlfn.XLOOKUP(B147,TableLibrarySigns[Block],TableLibrarySigns[Category]),""))</f>
        <v/>
      </c>
      <c r="Q147" t="str">
        <f>IF(B147="","",IFERROR(_xlfn.XLOOKUP(B147,TableLibrarySigns[Block],TableLibrarySigns[Normative]),""))</f>
        <v/>
      </c>
      <c r="R147" t="str">
        <f>IF(B147="","",IFERROR(_xlfn.XLOOKUP(B147,TableLibrarySigns[Block],TableLibrarySigns[Description]),""))</f>
        <v/>
      </c>
      <c r="S147" t="str">
        <f t="shared" si="10"/>
        <v/>
      </c>
      <c r="T147" t="str">
        <f>IF(B147="","",IFERROR(_xlfn.XLOOKUP(B147,TableLibrarySigns[Block],TableLibrarySigns[UnitTime]),""))</f>
        <v/>
      </c>
      <c r="U147" t="str">
        <f>IF(B147="","",IFERROR(_xlfn.XLOOKUP(B147,TableLibrarySigns[Block],TableLibrarySigns[UnitCost]),""))</f>
        <v/>
      </c>
      <c r="V147" t="str">
        <f t="shared" si="11"/>
        <v/>
      </c>
    </row>
    <row r="148" spans="1:22" ht="16.8" customHeight="1">
      <c r="A148" t="str">
        <f t="shared" si="12"/>
        <v/>
      </c>
      <c r="D148" s="2"/>
      <c r="E148" s="6" t="str">
        <f>IF(SignsTable[[#This Row],[PKValue]]="","",IF(D148="","",INT(D148/1000)&amp;"+"&amp;TEXT(MOD(D148,1000),"000.00")))</f>
        <v/>
      </c>
      <c r="J148" t="str">
        <f>IF(B148="","",IFERROR(_xlfn.XLOOKUP(B148,TableLibrarySigns[Block],TableLibrarySigns[Material]),""))</f>
        <v/>
      </c>
      <c r="K148" t="str">
        <f>IF(B148="","",IFERROR(_xlfn.XLOOKUP(B148,TableLibrarySigns[Block],TableLibrarySigns[RotationMode]),""))</f>
        <v/>
      </c>
      <c r="L148" t="str">
        <f>IF(B148="","",IFERROR(_xlfn.XLOOKUP(B148,TableLibrarySigns[Block],TableLibrarySigns[Layer]),""))</f>
        <v/>
      </c>
      <c r="M148" t="str">
        <f>IF(B148="","",IFERROR(_xlfn.XLOOKUP(B148,TableLibrarySigns[Block],TableLibrarySigns[DWGName]),""))</f>
        <v/>
      </c>
      <c r="N148" t="str">
        <f>IF(B148="","",IFERROR(_xlfn.XLOOKUP(B148,TableLibrarySigns[Block],TableLibrarySigns[SignCode]),""))</f>
        <v/>
      </c>
      <c r="O148" t="str">
        <f>IF(B148="","",IFERROR(_xlfn.XLOOKUP(B148,TableLibrarySigns[Block],TableLibrarySigns[IFCEntity]),""))</f>
        <v/>
      </c>
      <c r="P148" t="str">
        <f>IF(B148="","",IFERROR(_xlfn.XLOOKUP(B148,TableLibrarySigns[Block],TableLibrarySigns[Category]),""))</f>
        <v/>
      </c>
      <c r="Q148" t="str">
        <f>IF(B148="","",IFERROR(_xlfn.XLOOKUP(B148,TableLibrarySigns[Block],TableLibrarySigns[Normative]),""))</f>
        <v/>
      </c>
      <c r="R148" t="str">
        <f>IF(B148="","",IFERROR(_xlfn.XLOOKUP(B148,TableLibrarySigns[Block],TableLibrarySigns[Description]),""))</f>
        <v/>
      </c>
      <c r="S148" t="str">
        <f t="shared" si="10"/>
        <v/>
      </c>
      <c r="T148" t="str">
        <f>IF(B148="","",IFERROR(_xlfn.XLOOKUP(B148,TableLibrarySigns[Block],TableLibrarySigns[UnitTime]),""))</f>
        <v/>
      </c>
      <c r="U148" t="str">
        <f>IF(B148="","",IFERROR(_xlfn.XLOOKUP(B148,TableLibrarySigns[Block],TableLibrarySigns[UnitCost]),""))</f>
        <v/>
      </c>
      <c r="V148" t="str">
        <f t="shared" si="11"/>
        <v/>
      </c>
    </row>
    <row r="149" spans="1:22" ht="16.8" customHeight="1">
      <c r="A149" t="str">
        <f t="shared" si="12"/>
        <v/>
      </c>
      <c r="D149" s="2"/>
      <c r="E149" s="6" t="str">
        <f>IF(SignsTable[[#This Row],[PKValue]]="","",IF(D149="","",INT(D149/1000)&amp;"+"&amp;TEXT(MOD(D149,1000),"000.00")))</f>
        <v/>
      </c>
      <c r="J149" t="str">
        <f>IF(B149="","",IFERROR(_xlfn.XLOOKUP(B149,TableLibrarySigns[Block],TableLibrarySigns[Material]),""))</f>
        <v/>
      </c>
      <c r="K149" t="str">
        <f>IF(B149="","",IFERROR(_xlfn.XLOOKUP(B149,TableLibrarySigns[Block],TableLibrarySigns[RotationMode]),""))</f>
        <v/>
      </c>
      <c r="L149" t="str">
        <f>IF(B149="","",IFERROR(_xlfn.XLOOKUP(B149,TableLibrarySigns[Block],TableLibrarySigns[Layer]),""))</f>
        <v/>
      </c>
      <c r="M149" t="str">
        <f>IF(B149="","",IFERROR(_xlfn.XLOOKUP(B149,TableLibrarySigns[Block],TableLibrarySigns[DWGName]),""))</f>
        <v/>
      </c>
      <c r="N149" t="str">
        <f>IF(B149="","",IFERROR(_xlfn.XLOOKUP(B149,TableLibrarySigns[Block],TableLibrarySigns[SignCode]),""))</f>
        <v/>
      </c>
      <c r="O149" t="str">
        <f>IF(B149="","",IFERROR(_xlfn.XLOOKUP(B149,TableLibrarySigns[Block],TableLibrarySigns[IFCEntity]),""))</f>
        <v/>
      </c>
      <c r="P149" t="str">
        <f>IF(B149="","",IFERROR(_xlfn.XLOOKUP(B149,TableLibrarySigns[Block],TableLibrarySigns[Category]),""))</f>
        <v/>
      </c>
      <c r="Q149" t="str">
        <f>IF(B149="","",IFERROR(_xlfn.XLOOKUP(B149,TableLibrarySigns[Block],TableLibrarySigns[Normative]),""))</f>
        <v/>
      </c>
      <c r="R149" t="str">
        <f>IF(B149="","",IFERROR(_xlfn.XLOOKUP(B149,TableLibrarySigns[Block],TableLibrarySigns[Description]),""))</f>
        <v/>
      </c>
      <c r="S149" t="str">
        <f t="shared" si="10"/>
        <v/>
      </c>
      <c r="T149" t="str">
        <f>IF(B149="","",IFERROR(_xlfn.XLOOKUP(B149,TableLibrarySigns[Block],TableLibrarySigns[UnitTime]),""))</f>
        <v/>
      </c>
      <c r="U149" t="str">
        <f>IF(B149="","",IFERROR(_xlfn.XLOOKUP(B149,TableLibrarySigns[Block],TableLibrarySigns[UnitCost]),""))</f>
        <v/>
      </c>
      <c r="V149" t="str">
        <f t="shared" si="11"/>
        <v/>
      </c>
    </row>
    <row r="150" spans="1:22" ht="16.8" customHeight="1">
      <c r="A150" t="str">
        <f t="shared" si="12"/>
        <v/>
      </c>
      <c r="D150" s="2"/>
      <c r="E150" s="6" t="str">
        <f>IF(SignsTable[[#This Row],[PKValue]]="","",IF(D150="","",INT(D150/1000)&amp;"+"&amp;TEXT(MOD(D150,1000),"000.00")))</f>
        <v/>
      </c>
      <c r="J150" t="str">
        <f>IF(B150="","",IFERROR(_xlfn.XLOOKUP(B150,TableLibrarySigns[Block],TableLibrarySigns[Material]),""))</f>
        <v/>
      </c>
      <c r="K150" t="str">
        <f>IF(B150="","",IFERROR(_xlfn.XLOOKUP(B150,TableLibrarySigns[Block],TableLibrarySigns[RotationMode]),""))</f>
        <v/>
      </c>
      <c r="L150" t="str">
        <f>IF(B150="","",IFERROR(_xlfn.XLOOKUP(B150,TableLibrarySigns[Block],TableLibrarySigns[Layer]),""))</f>
        <v/>
      </c>
      <c r="M150" t="str">
        <f>IF(B150="","",IFERROR(_xlfn.XLOOKUP(B150,TableLibrarySigns[Block],TableLibrarySigns[DWGName]),""))</f>
        <v/>
      </c>
      <c r="N150" t="str">
        <f>IF(B150="","",IFERROR(_xlfn.XLOOKUP(B150,TableLibrarySigns[Block],TableLibrarySigns[SignCode]),""))</f>
        <v/>
      </c>
      <c r="O150" t="str">
        <f>IF(B150="","",IFERROR(_xlfn.XLOOKUP(B150,TableLibrarySigns[Block],TableLibrarySigns[IFCEntity]),""))</f>
        <v/>
      </c>
      <c r="P150" t="str">
        <f>IF(B150="","",IFERROR(_xlfn.XLOOKUP(B150,TableLibrarySigns[Block],TableLibrarySigns[Category]),""))</f>
        <v/>
      </c>
      <c r="Q150" t="str">
        <f>IF(B150="","",IFERROR(_xlfn.XLOOKUP(B150,TableLibrarySigns[Block],TableLibrarySigns[Normative]),""))</f>
        <v/>
      </c>
      <c r="R150" t="str">
        <f>IF(B150="","",IFERROR(_xlfn.XLOOKUP(B150,TableLibrarySigns[Block],TableLibrarySigns[Description]),""))</f>
        <v/>
      </c>
      <c r="S150" t="str">
        <f t="shared" si="10"/>
        <v/>
      </c>
      <c r="T150" t="str">
        <f>IF(B150="","",IFERROR(_xlfn.XLOOKUP(B150,TableLibrarySigns[Block],TableLibrarySigns[UnitTime]),""))</f>
        <v/>
      </c>
      <c r="U150" t="str">
        <f>IF(B150="","",IFERROR(_xlfn.XLOOKUP(B150,TableLibrarySigns[Block],TableLibrarySigns[UnitCost]),""))</f>
        <v/>
      </c>
      <c r="V150" t="str">
        <f t="shared" si="11"/>
        <v/>
      </c>
    </row>
    <row r="151" spans="1:22" ht="16.8" customHeight="1">
      <c r="A151" t="str">
        <f t="shared" si="12"/>
        <v/>
      </c>
      <c r="D151" s="2"/>
      <c r="E151" s="6" t="str">
        <f>IF(SignsTable[[#This Row],[PKValue]]="","",IF(D151="","",INT(D151/1000)&amp;"+"&amp;TEXT(MOD(D151,1000),"000.00")))</f>
        <v/>
      </c>
      <c r="J151" t="str">
        <f>IF(B151="","",IFERROR(_xlfn.XLOOKUP(B151,TableLibrarySigns[Block],TableLibrarySigns[Material]),""))</f>
        <v/>
      </c>
      <c r="K151" t="str">
        <f>IF(B151="","",IFERROR(_xlfn.XLOOKUP(B151,TableLibrarySigns[Block],TableLibrarySigns[RotationMode]),""))</f>
        <v/>
      </c>
      <c r="L151" t="str">
        <f>IF(B151="","",IFERROR(_xlfn.XLOOKUP(B151,TableLibrarySigns[Block],TableLibrarySigns[Layer]),""))</f>
        <v/>
      </c>
      <c r="M151" t="str">
        <f>IF(B151="","",IFERROR(_xlfn.XLOOKUP(B151,TableLibrarySigns[Block],TableLibrarySigns[DWGName]),""))</f>
        <v/>
      </c>
      <c r="N151" t="str">
        <f>IF(B151="","",IFERROR(_xlfn.XLOOKUP(B151,TableLibrarySigns[Block],TableLibrarySigns[SignCode]),""))</f>
        <v/>
      </c>
      <c r="O151" t="str">
        <f>IF(B151="","",IFERROR(_xlfn.XLOOKUP(B151,TableLibrarySigns[Block],TableLibrarySigns[IFCEntity]),""))</f>
        <v/>
      </c>
      <c r="P151" t="str">
        <f>IF(B151="","",IFERROR(_xlfn.XLOOKUP(B151,TableLibrarySigns[Block],TableLibrarySigns[Category]),""))</f>
        <v/>
      </c>
      <c r="Q151" t="str">
        <f>IF(B151="","",IFERROR(_xlfn.XLOOKUP(B151,TableLibrarySigns[Block],TableLibrarySigns[Normative]),""))</f>
        <v/>
      </c>
      <c r="R151" t="str">
        <f>IF(B151="","",IFERROR(_xlfn.XLOOKUP(B151,TableLibrarySigns[Block],TableLibrarySigns[Description]),""))</f>
        <v/>
      </c>
      <c r="S151" t="str">
        <f t="shared" si="10"/>
        <v/>
      </c>
      <c r="T151" t="str">
        <f>IF(B151="","",IFERROR(_xlfn.XLOOKUP(B151,TableLibrarySigns[Block],TableLibrarySigns[UnitTime]),""))</f>
        <v/>
      </c>
      <c r="U151" t="str">
        <f>IF(B151="","",IFERROR(_xlfn.XLOOKUP(B151,TableLibrarySigns[Block],TableLibrarySigns[UnitCost]),""))</f>
        <v/>
      </c>
      <c r="V151" t="str">
        <f t="shared" si="11"/>
        <v/>
      </c>
    </row>
    <row r="152" spans="1:22" ht="16.8" customHeight="1">
      <c r="A152" t="str">
        <f t="shared" si="12"/>
        <v/>
      </c>
      <c r="D152" s="2"/>
      <c r="E152" s="6" t="str">
        <f>IF(SignsTable[[#This Row],[PKValue]]="","",IF(D152="","",INT(D152/1000)&amp;"+"&amp;TEXT(MOD(D152,1000),"000.00")))</f>
        <v/>
      </c>
      <c r="J152" t="str">
        <f>IF(B152="","",IFERROR(_xlfn.XLOOKUP(B152,TableLibrarySigns[Block],TableLibrarySigns[Material]),""))</f>
        <v/>
      </c>
      <c r="K152" t="str">
        <f>IF(B152="","",IFERROR(_xlfn.XLOOKUP(B152,TableLibrarySigns[Block],TableLibrarySigns[RotationMode]),""))</f>
        <v/>
      </c>
      <c r="L152" t="str">
        <f>IF(B152="","",IFERROR(_xlfn.XLOOKUP(B152,TableLibrarySigns[Block],TableLibrarySigns[Layer]),""))</f>
        <v/>
      </c>
      <c r="M152" t="str">
        <f>IF(B152="","",IFERROR(_xlfn.XLOOKUP(B152,TableLibrarySigns[Block],TableLibrarySigns[DWGName]),""))</f>
        <v/>
      </c>
      <c r="N152" t="str">
        <f>IF(B152="","",IFERROR(_xlfn.XLOOKUP(B152,TableLibrarySigns[Block],TableLibrarySigns[SignCode]),""))</f>
        <v/>
      </c>
      <c r="O152" t="str">
        <f>IF(B152="","",IFERROR(_xlfn.XLOOKUP(B152,TableLibrarySigns[Block],TableLibrarySigns[IFCEntity]),""))</f>
        <v/>
      </c>
      <c r="P152" t="str">
        <f>IF(B152="","",IFERROR(_xlfn.XLOOKUP(B152,TableLibrarySigns[Block],TableLibrarySigns[Category]),""))</f>
        <v/>
      </c>
      <c r="Q152" t="str">
        <f>IF(B152="","",IFERROR(_xlfn.XLOOKUP(B152,TableLibrarySigns[Block],TableLibrarySigns[Normative]),""))</f>
        <v/>
      </c>
      <c r="R152" t="str">
        <f>IF(B152="","",IFERROR(_xlfn.XLOOKUP(B152,TableLibrarySigns[Block],TableLibrarySigns[Description]),""))</f>
        <v/>
      </c>
      <c r="S152" t="str">
        <f t="shared" si="10"/>
        <v/>
      </c>
      <c r="T152" t="str">
        <f>IF(B152="","",IFERROR(_xlfn.XLOOKUP(B152,TableLibrarySigns[Block],TableLibrarySigns[UnitTime]),""))</f>
        <v/>
      </c>
      <c r="U152" t="str">
        <f>IF(B152="","",IFERROR(_xlfn.XLOOKUP(B152,TableLibrarySigns[Block],TableLibrarySigns[UnitCost]),""))</f>
        <v/>
      </c>
      <c r="V152" t="str">
        <f t="shared" si="11"/>
        <v/>
      </c>
    </row>
    <row r="153" spans="1:22" ht="16.8" customHeight="1">
      <c r="A153" t="str">
        <f t="shared" si="12"/>
        <v/>
      </c>
      <c r="D153" s="2"/>
      <c r="E153" s="6" t="str">
        <f>IF(SignsTable[[#This Row],[PKValue]]="","",IF(D153="","",INT(D153/1000)&amp;"+"&amp;TEXT(MOD(D153,1000),"000.00")))</f>
        <v/>
      </c>
      <c r="J153" t="str">
        <f>IF(B153="","",IFERROR(_xlfn.XLOOKUP(B153,TableLibrarySigns[Block],TableLibrarySigns[Material]),""))</f>
        <v/>
      </c>
      <c r="K153" t="str">
        <f>IF(B153="","",IFERROR(_xlfn.XLOOKUP(B153,TableLibrarySigns[Block],TableLibrarySigns[RotationMode]),""))</f>
        <v/>
      </c>
      <c r="L153" t="str">
        <f>IF(B153="","",IFERROR(_xlfn.XLOOKUP(B153,TableLibrarySigns[Block],TableLibrarySigns[Layer]),""))</f>
        <v/>
      </c>
      <c r="M153" t="str">
        <f>IF(B153="","",IFERROR(_xlfn.XLOOKUP(B153,TableLibrarySigns[Block],TableLibrarySigns[DWGName]),""))</f>
        <v/>
      </c>
      <c r="N153" t="str">
        <f>IF(B153="","",IFERROR(_xlfn.XLOOKUP(B153,TableLibrarySigns[Block],TableLibrarySigns[SignCode]),""))</f>
        <v/>
      </c>
      <c r="O153" t="str">
        <f>IF(B153="","",IFERROR(_xlfn.XLOOKUP(B153,TableLibrarySigns[Block],TableLibrarySigns[IFCEntity]),""))</f>
        <v/>
      </c>
      <c r="P153" t="str">
        <f>IF(B153="","",IFERROR(_xlfn.XLOOKUP(B153,TableLibrarySigns[Block],TableLibrarySigns[Category]),""))</f>
        <v/>
      </c>
      <c r="Q153" t="str">
        <f>IF(B153="","",IFERROR(_xlfn.XLOOKUP(B153,TableLibrarySigns[Block],TableLibrarySigns[Normative]),""))</f>
        <v/>
      </c>
      <c r="R153" t="str">
        <f>IF(B153="","",IFERROR(_xlfn.XLOOKUP(B153,TableLibrarySigns[Block],TableLibrarySigns[Description]),""))</f>
        <v/>
      </c>
      <c r="S153" t="str">
        <f t="shared" si="10"/>
        <v/>
      </c>
      <c r="T153" t="str">
        <f>IF(B153="","",IFERROR(_xlfn.XLOOKUP(B153,TableLibrarySigns[Block],TableLibrarySigns[UnitTime]),""))</f>
        <v/>
      </c>
      <c r="U153" t="str">
        <f>IF(B153="","",IFERROR(_xlfn.XLOOKUP(B153,TableLibrarySigns[Block],TableLibrarySigns[UnitCost]),""))</f>
        <v/>
      </c>
      <c r="V153" t="str">
        <f t="shared" si="11"/>
        <v/>
      </c>
    </row>
    <row r="154" spans="1:22" ht="16.8" customHeight="1">
      <c r="A154" t="str">
        <f t="shared" si="12"/>
        <v/>
      </c>
      <c r="D154" s="2"/>
      <c r="E154" s="6" t="str">
        <f>IF(SignsTable[[#This Row],[PKValue]]="","",IF(D154="","",INT(D154/1000)&amp;"+"&amp;TEXT(MOD(D154,1000),"000.00")))</f>
        <v/>
      </c>
      <c r="J154" t="str">
        <f>IF(B154="","",IFERROR(_xlfn.XLOOKUP(B154,TableLibrarySigns[Block],TableLibrarySigns[Material]),""))</f>
        <v/>
      </c>
      <c r="K154" t="str">
        <f>IF(B154="","",IFERROR(_xlfn.XLOOKUP(B154,TableLibrarySigns[Block],TableLibrarySigns[RotationMode]),""))</f>
        <v/>
      </c>
      <c r="L154" t="str">
        <f>IF(B154="","",IFERROR(_xlfn.XLOOKUP(B154,TableLibrarySigns[Block],TableLibrarySigns[Layer]),""))</f>
        <v/>
      </c>
      <c r="M154" t="str">
        <f>IF(B154="","",IFERROR(_xlfn.XLOOKUP(B154,TableLibrarySigns[Block],TableLibrarySigns[DWGName]),""))</f>
        <v/>
      </c>
      <c r="N154" t="str">
        <f>IF(B154="","",IFERROR(_xlfn.XLOOKUP(B154,TableLibrarySigns[Block],TableLibrarySigns[SignCode]),""))</f>
        <v/>
      </c>
      <c r="O154" t="str">
        <f>IF(B154="","",IFERROR(_xlfn.XLOOKUP(B154,TableLibrarySigns[Block],TableLibrarySigns[IFCEntity]),""))</f>
        <v/>
      </c>
      <c r="P154" t="str">
        <f>IF(B154="","",IFERROR(_xlfn.XLOOKUP(B154,TableLibrarySigns[Block],TableLibrarySigns[Category]),""))</f>
        <v/>
      </c>
      <c r="Q154" t="str">
        <f>IF(B154="","",IFERROR(_xlfn.XLOOKUP(B154,TableLibrarySigns[Block],TableLibrarySigns[Normative]),""))</f>
        <v/>
      </c>
      <c r="R154" t="str">
        <f>IF(B154="","",IFERROR(_xlfn.XLOOKUP(B154,TableLibrarySigns[Block],TableLibrarySigns[Description]),""))</f>
        <v/>
      </c>
      <c r="S154" t="str">
        <f t="shared" si="10"/>
        <v/>
      </c>
      <c r="T154" t="str">
        <f>IF(B154="","",IFERROR(_xlfn.XLOOKUP(B154,TableLibrarySigns[Block],TableLibrarySigns[UnitTime]),""))</f>
        <v/>
      </c>
      <c r="U154" t="str">
        <f>IF(B154="","",IFERROR(_xlfn.XLOOKUP(B154,TableLibrarySigns[Block],TableLibrarySigns[UnitCost]),""))</f>
        <v/>
      </c>
      <c r="V154" t="str">
        <f t="shared" si="11"/>
        <v/>
      </c>
    </row>
    <row r="155" spans="1:22" ht="16.8" customHeight="1">
      <c r="A155" t="str">
        <f t="shared" si="12"/>
        <v/>
      </c>
      <c r="D155" s="2"/>
      <c r="E155" s="6" t="str">
        <f>IF(SignsTable[[#This Row],[PKValue]]="","",IF(D155="","",INT(D155/1000)&amp;"+"&amp;TEXT(MOD(D155,1000),"000.00")))</f>
        <v/>
      </c>
      <c r="J155" t="str">
        <f>IF(B155="","",IFERROR(_xlfn.XLOOKUP(B155,TableLibrarySigns[Block],TableLibrarySigns[Material]),""))</f>
        <v/>
      </c>
      <c r="K155" t="str">
        <f>IF(B155="","",IFERROR(_xlfn.XLOOKUP(B155,TableLibrarySigns[Block],TableLibrarySigns[RotationMode]),""))</f>
        <v/>
      </c>
      <c r="L155" t="str">
        <f>IF(B155="","",IFERROR(_xlfn.XLOOKUP(B155,TableLibrarySigns[Block],TableLibrarySigns[Layer]),""))</f>
        <v/>
      </c>
      <c r="M155" t="str">
        <f>IF(B155="","",IFERROR(_xlfn.XLOOKUP(B155,TableLibrarySigns[Block],TableLibrarySigns[DWGName]),""))</f>
        <v/>
      </c>
      <c r="N155" t="str">
        <f>IF(B155="","",IFERROR(_xlfn.XLOOKUP(B155,TableLibrarySigns[Block],TableLibrarySigns[SignCode]),""))</f>
        <v/>
      </c>
      <c r="O155" t="str">
        <f>IF(B155="","",IFERROR(_xlfn.XLOOKUP(B155,TableLibrarySigns[Block],TableLibrarySigns[IFCEntity]),""))</f>
        <v/>
      </c>
      <c r="P155" t="str">
        <f>IF(B155="","",IFERROR(_xlfn.XLOOKUP(B155,TableLibrarySigns[Block],TableLibrarySigns[Category]),""))</f>
        <v/>
      </c>
      <c r="Q155" t="str">
        <f>IF(B155="","",IFERROR(_xlfn.XLOOKUP(B155,TableLibrarySigns[Block],TableLibrarySigns[Normative]),""))</f>
        <v/>
      </c>
      <c r="R155" t="str">
        <f>IF(B155="","",IFERROR(_xlfn.XLOOKUP(B155,TableLibrarySigns[Block],TableLibrarySigns[Description]),""))</f>
        <v/>
      </c>
      <c r="S155" t="str">
        <f t="shared" si="10"/>
        <v/>
      </c>
      <c r="T155" t="str">
        <f>IF(B155="","",IFERROR(_xlfn.XLOOKUP(B155,TableLibrarySigns[Block],TableLibrarySigns[UnitTime]),""))</f>
        <v/>
      </c>
      <c r="U155" t="str">
        <f>IF(B155="","",IFERROR(_xlfn.XLOOKUP(B155,TableLibrarySigns[Block],TableLibrarySigns[UnitCost]),""))</f>
        <v/>
      </c>
      <c r="V155" t="str">
        <f t="shared" si="11"/>
        <v/>
      </c>
    </row>
    <row r="156" spans="1:22" ht="16.8" customHeight="1">
      <c r="A156" t="str">
        <f t="shared" si="12"/>
        <v/>
      </c>
      <c r="D156" s="2"/>
      <c r="E156" s="6" t="str">
        <f>IF(SignsTable[[#This Row],[PKValue]]="","",IF(D156="","",INT(D156/1000)&amp;"+"&amp;TEXT(MOD(D156,1000),"000.00")))</f>
        <v/>
      </c>
      <c r="J156" t="str">
        <f>IF(B156="","",IFERROR(_xlfn.XLOOKUP(B156,TableLibrarySigns[Block],TableLibrarySigns[Material]),""))</f>
        <v/>
      </c>
      <c r="K156" t="str">
        <f>IF(B156="","",IFERROR(_xlfn.XLOOKUP(B156,TableLibrarySigns[Block],TableLibrarySigns[RotationMode]),""))</f>
        <v/>
      </c>
      <c r="L156" t="str">
        <f>IF(B156="","",IFERROR(_xlfn.XLOOKUP(B156,TableLibrarySigns[Block],TableLibrarySigns[Layer]),""))</f>
        <v/>
      </c>
      <c r="M156" t="str">
        <f>IF(B156="","",IFERROR(_xlfn.XLOOKUP(B156,TableLibrarySigns[Block],TableLibrarySigns[DWGName]),""))</f>
        <v/>
      </c>
      <c r="N156" t="str">
        <f>IF(B156="","",IFERROR(_xlfn.XLOOKUP(B156,TableLibrarySigns[Block],TableLibrarySigns[SignCode]),""))</f>
        <v/>
      </c>
      <c r="O156" t="str">
        <f>IF(B156="","",IFERROR(_xlfn.XLOOKUP(B156,TableLibrarySigns[Block],TableLibrarySigns[IFCEntity]),""))</f>
        <v/>
      </c>
      <c r="P156" t="str">
        <f>IF(B156="","",IFERROR(_xlfn.XLOOKUP(B156,TableLibrarySigns[Block],TableLibrarySigns[Category]),""))</f>
        <v/>
      </c>
      <c r="Q156" t="str">
        <f>IF(B156="","",IFERROR(_xlfn.XLOOKUP(B156,TableLibrarySigns[Block],TableLibrarySigns[Normative]),""))</f>
        <v/>
      </c>
      <c r="R156" t="str">
        <f>IF(B156="","",IFERROR(_xlfn.XLOOKUP(B156,TableLibrarySigns[Block],TableLibrarySigns[Description]),""))</f>
        <v/>
      </c>
      <c r="S156" t="str">
        <f t="shared" si="10"/>
        <v/>
      </c>
      <c r="T156" t="str">
        <f>IF(B156="","",IFERROR(_xlfn.XLOOKUP(B156,TableLibrarySigns[Block],TableLibrarySigns[UnitTime]),""))</f>
        <v/>
      </c>
      <c r="U156" t="str">
        <f>IF(B156="","",IFERROR(_xlfn.XLOOKUP(B156,TableLibrarySigns[Block],TableLibrarySigns[UnitCost]),""))</f>
        <v/>
      </c>
      <c r="V156" t="str">
        <f t="shared" si="11"/>
        <v/>
      </c>
    </row>
    <row r="157" spans="1:22" ht="16.8" customHeight="1">
      <c r="A157" t="str">
        <f t="shared" si="12"/>
        <v/>
      </c>
      <c r="D157" s="2"/>
      <c r="E157" s="6" t="str">
        <f>IF(SignsTable[[#This Row],[PKValue]]="","",IF(D157="","",INT(D157/1000)&amp;"+"&amp;TEXT(MOD(D157,1000),"000.00")))</f>
        <v/>
      </c>
      <c r="J157" t="str">
        <f>IF(B157="","",IFERROR(_xlfn.XLOOKUP(B157,TableLibrarySigns[Block],TableLibrarySigns[Material]),""))</f>
        <v/>
      </c>
      <c r="K157" t="str">
        <f>IF(B157="","",IFERROR(_xlfn.XLOOKUP(B157,TableLibrarySigns[Block],TableLibrarySigns[RotationMode]),""))</f>
        <v/>
      </c>
      <c r="L157" t="str">
        <f>IF(B157="","",IFERROR(_xlfn.XLOOKUP(B157,TableLibrarySigns[Block],TableLibrarySigns[Layer]),""))</f>
        <v/>
      </c>
      <c r="M157" t="str">
        <f>IF(B157="","",IFERROR(_xlfn.XLOOKUP(B157,TableLibrarySigns[Block],TableLibrarySigns[DWGName]),""))</f>
        <v/>
      </c>
      <c r="N157" t="str">
        <f>IF(B157="","",IFERROR(_xlfn.XLOOKUP(B157,TableLibrarySigns[Block],TableLibrarySigns[SignCode]),""))</f>
        <v/>
      </c>
      <c r="O157" t="str">
        <f>IF(B157="","",IFERROR(_xlfn.XLOOKUP(B157,TableLibrarySigns[Block],TableLibrarySigns[IFCEntity]),""))</f>
        <v/>
      </c>
      <c r="P157" t="str">
        <f>IF(B157="","",IFERROR(_xlfn.XLOOKUP(B157,TableLibrarySigns[Block],TableLibrarySigns[Category]),""))</f>
        <v/>
      </c>
      <c r="Q157" t="str">
        <f>IF(B157="","",IFERROR(_xlfn.XLOOKUP(B157,TableLibrarySigns[Block],TableLibrarySigns[Normative]),""))</f>
        <v/>
      </c>
      <c r="R157" t="str">
        <f>IF(B157="","",IFERROR(_xlfn.XLOOKUP(B157,TableLibrarySigns[Block],TableLibrarySigns[Description]),""))</f>
        <v/>
      </c>
      <c r="S157" t="str">
        <f t="shared" si="10"/>
        <v/>
      </c>
      <c r="T157" t="str">
        <f>IF(B157="","",IFERROR(_xlfn.XLOOKUP(B157,TableLibrarySigns[Block],TableLibrarySigns[UnitTime]),""))</f>
        <v/>
      </c>
      <c r="U157" t="str">
        <f>IF(B157="","",IFERROR(_xlfn.XLOOKUP(B157,TableLibrarySigns[Block],TableLibrarySigns[UnitCost]),""))</f>
        <v/>
      </c>
      <c r="V157" t="str">
        <f t="shared" si="11"/>
        <v/>
      </c>
    </row>
    <row r="158" spans="1:22" ht="16.8" customHeight="1">
      <c r="A158" t="str">
        <f t="shared" si="12"/>
        <v/>
      </c>
      <c r="D158" s="2"/>
      <c r="E158" s="6" t="str">
        <f>IF(SignsTable[[#This Row],[PKValue]]="","",IF(D158="","",INT(D158/1000)&amp;"+"&amp;TEXT(MOD(D158,1000),"000.00")))</f>
        <v/>
      </c>
      <c r="J158" t="str">
        <f>IF(B158="","",IFERROR(_xlfn.XLOOKUP(B158,TableLibrarySigns[Block],TableLibrarySigns[Material]),""))</f>
        <v/>
      </c>
      <c r="K158" t="str">
        <f>IF(B158="","",IFERROR(_xlfn.XLOOKUP(B158,TableLibrarySigns[Block],TableLibrarySigns[RotationMode]),""))</f>
        <v/>
      </c>
      <c r="L158" t="str">
        <f>IF(B158="","",IFERROR(_xlfn.XLOOKUP(B158,TableLibrarySigns[Block],TableLibrarySigns[Layer]),""))</f>
        <v/>
      </c>
      <c r="M158" t="str">
        <f>IF(B158="","",IFERROR(_xlfn.XLOOKUP(B158,TableLibrarySigns[Block],TableLibrarySigns[DWGName]),""))</f>
        <v/>
      </c>
      <c r="N158" t="str">
        <f>IF(B158="","",IFERROR(_xlfn.XLOOKUP(B158,TableLibrarySigns[Block],TableLibrarySigns[SignCode]),""))</f>
        <v/>
      </c>
      <c r="O158" t="str">
        <f>IF(B158="","",IFERROR(_xlfn.XLOOKUP(B158,TableLibrarySigns[Block],TableLibrarySigns[IFCEntity]),""))</f>
        <v/>
      </c>
      <c r="P158" t="str">
        <f>IF(B158="","",IFERROR(_xlfn.XLOOKUP(B158,TableLibrarySigns[Block],TableLibrarySigns[Category]),""))</f>
        <v/>
      </c>
      <c r="Q158" t="str">
        <f>IF(B158="","",IFERROR(_xlfn.XLOOKUP(B158,TableLibrarySigns[Block],TableLibrarySigns[Normative]),""))</f>
        <v/>
      </c>
      <c r="R158" t="str">
        <f>IF(B158="","",IFERROR(_xlfn.XLOOKUP(B158,TableLibrarySigns[Block],TableLibrarySigns[Description]),""))</f>
        <v/>
      </c>
      <c r="S158" t="str">
        <f t="shared" si="10"/>
        <v/>
      </c>
      <c r="T158" t="str">
        <f>IF(B158="","",IFERROR(_xlfn.XLOOKUP(B158,TableLibrarySigns[Block],TableLibrarySigns[UnitTime]),""))</f>
        <v/>
      </c>
      <c r="U158" t="str">
        <f>IF(B158="","",IFERROR(_xlfn.XLOOKUP(B158,TableLibrarySigns[Block],TableLibrarySigns[UnitCost]),""))</f>
        <v/>
      </c>
      <c r="V158" t="str">
        <f t="shared" si="11"/>
        <v/>
      </c>
    </row>
    <row r="159" spans="1:22" ht="16.8" customHeight="1">
      <c r="A159" t="str">
        <f t="shared" si="12"/>
        <v/>
      </c>
      <c r="D159" s="2"/>
      <c r="E159" s="6" t="str">
        <f>IF(SignsTable[[#This Row],[PKValue]]="","",IF(D159="","",INT(D159/1000)&amp;"+"&amp;TEXT(MOD(D159,1000),"000.00")))</f>
        <v/>
      </c>
      <c r="J159" t="str">
        <f>IF(B159="","",IFERROR(_xlfn.XLOOKUP(B159,TableLibrarySigns[Block],TableLibrarySigns[Material]),""))</f>
        <v/>
      </c>
      <c r="K159" t="str">
        <f>IF(B159="","",IFERROR(_xlfn.XLOOKUP(B159,TableLibrarySigns[Block],TableLibrarySigns[RotationMode]),""))</f>
        <v/>
      </c>
      <c r="L159" t="str">
        <f>IF(B159="","",IFERROR(_xlfn.XLOOKUP(B159,TableLibrarySigns[Block],TableLibrarySigns[Layer]),""))</f>
        <v/>
      </c>
      <c r="M159" t="str">
        <f>IF(B159="","",IFERROR(_xlfn.XLOOKUP(B159,TableLibrarySigns[Block],TableLibrarySigns[DWGName]),""))</f>
        <v/>
      </c>
      <c r="N159" t="str">
        <f>IF(B159="","",IFERROR(_xlfn.XLOOKUP(B159,TableLibrarySigns[Block],TableLibrarySigns[SignCode]),""))</f>
        <v/>
      </c>
      <c r="O159" t="str">
        <f>IF(B159="","",IFERROR(_xlfn.XLOOKUP(B159,TableLibrarySigns[Block],TableLibrarySigns[IFCEntity]),""))</f>
        <v/>
      </c>
      <c r="P159" t="str">
        <f>IF(B159="","",IFERROR(_xlfn.XLOOKUP(B159,TableLibrarySigns[Block],TableLibrarySigns[Category]),""))</f>
        <v/>
      </c>
      <c r="Q159" t="str">
        <f>IF(B159="","",IFERROR(_xlfn.XLOOKUP(B159,TableLibrarySigns[Block],TableLibrarySigns[Normative]),""))</f>
        <v/>
      </c>
      <c r="R159" t="str">
        <f>IF(B159="","",IFERROR(_xlfn.XLOOKUP(B159,TableLibrarySigns[Block],TableLibrarySigns[Description]),""))</f>
        <v/>
      </c>
      <c r="S159" t="str">
        <f t="shared" si="10"/>
        <v/>
      </c>
      <c r="T159" t="str">
        <f>IF(B159="","",IFERROR(_xlfn.XLOOKUP(B159,TableLibrarySigns[Block],TableLibrarySigns[UnitTime]),""))</f>
        <v/>
      </c>
      <c r="U159" t="str">
        <f>IF(B159="","",IFERROR(_xlfn.XLOOKUP(B159,TableLibrarySigns[Block],TableLibrarySigns[UnitCost]),""))</f>
        <v/>
      </c>
      <c r="V159" t="str">
        <f t="shared" si="11"/>
        <v/>
      </c>
    </row>
    <row r="160" spans="1:22" ht="16.8" customHeight="1">
      <c r="A160" t="str">
        <f t="shared" si="12"/>
        <v/>
      </c>
      <c r="D160" s="2"/>
      <c r="E160" s="6" t="str">
        <f>IF(SignsTable[[#This Row],[PKValue]]="","",IF(D160="","",INT(D160/1000)&amp;"+"&amp;TEXT(MOD(D160,1000),"000.00")))</f>
        <v/>
      </c>
      <c r="J160" t="str">
        <f>IF(B160="","",IFERROR(_xlfn.XLOOKUP(B160,TableLibrarySigns[Block],TableLibrarySigns[Material]),""))</f>
        <v/>
      </c>
      <c r="K160" t="str">
        <f>IF(B160="","",IFERROR(_xlfn.XLOOKUP(B160,TableLibrarySigns[Block],TableLibrarySigns[RotationMode]),""))</f>
        <v/>
      </c>
      <c r="L160" t="str">
        <f>IF(B160="","",IFERROR(_xlfn.XLOOKUP(B160,TableLibrarySigns[Block],TableLibrarySigns[Layer]),""))</f>
        <v/>
      </c>
      <c r="M160" t="str">
        <f>IF(B160="","",IFERROR(_xlfn.XLOOKUP(B160,TableLibrarySigns[Block],TableLibrarySigns[DWGName]),""))</f>
        <v/>
      </c>
      <c r="N160" t="str">
        <f>IF(B160="","",IFERROR(_xlfn.XLOOKUP(B160,TableLibrarySigns[Block],TableLibrarySigns[SignCode]),""))</f>
        <v/>
      </c>
      <c r="O160" t="str">
        <f>IF(B160="","",IFERROR(_xlfn.XLOOKUP(B160,TableLibrarySigns[Block],TableLibrarySigns[IFCEntity]),""))</f>
        <v/>
      </c>
      <c r="P160" t="str">
        <f>IF(B160="","",IFERROR(_xlfn.XLOOKUP(B160,TableLibrarySigns[Block],TableLibrarySigns[Category]),""))</f>
        <v/>
      </c>
      <c r="Q160" t="str">
        <f>IF(B160="","",IFERROR(_xlfn.XLOOKUP(B160,TableLibrarySigns[Block],TableLibrarySigns[Normative]),""))</f>
        <v/>
      </c>
      <c r="R160" t="str">
        <f>IF(B160="","",IFERROR(_xlfn.XLOOKUP(B160,TableLibrarySigns[Block],TableLibrarySigns[Description]),""))</f>
        <v/>
      </c>
      <c r="S160" t="str">
        <f t="shared" si="10"/>
        <v/>
      </c>
      <c r="T160" t="str">
        <f>IF(B160="","",IFERROR(_xlfn.XLOOKUP(B160,TableLibrarySigns[Block],TableLibrarySigns[UnitTime]),""))</f>
        <v/>
      </c>
      <c r="U160" t="str">
        <f>IF(B160="","",IFERROR(_xlfn.XLOOKUP(B160,TableLibrarySigns[Block],TableLibrarySigns[UnitCost]),""))</f>
        <v/>
      </c>
      <c r="V160" t="str">
        <f t="shared" si="11"/>
        <v/>
      </c>
    </row>
    <row r="161" spans="1:22" ht="16.8" customHeight="1">
      <c r="A161" t="str">
        <f t="shared" si="12"/>
        <v/>
      </c>
      <c r="D161" s="2"/>
      <c r="E161" s="6" t="str">
        <f>IF(SignsTable[[#This Row],[PKValue]]="","",IF(D161="","",INT(D161/1000)&amp;"+"&amp;TEXT(MOD(D161,1000),"000.00")))</f>
        <v/>
      </c>
      <c r="J161" t="str">
        <f>IF(B161="","",IFERROR(_xlfn.XLOOKUP(B161,TableLibrarySigns[Block],TableLibrarySigns[Material]),""))</f>
        <v/>
      </c>
      <c r="K161" t="str">
        <f>IF(B161="","",IFERROR(_xlfn.XLOOKUP(B161,TableLibrarySigns[Block],TableLibrarySigns[RotationMode]),""))</f>
        <v/>
      </c>
      <c r="L161" t="str">
        <f>IF(B161="","",IFERROR(_xlfn.XLOOKUP(B161,TableLibrarySigns[Block],TableLibrarySigns[Layer]),""))</f>
        <v/>
      </c>
      <c r="M161" t="str">
        <f>IF(B161="","",IFERROR(_xlfn.XLOOKUP(B161,TableLibrarySigns[Block],TableLibrarySigns[DWGName]),""))</f>
        <v/>
      </c>
      <c r="N161" t="str">
        <f>IF(B161="","",IFERROR(_xlfn.XLOOKUP(B161,TableLibrarySigns[Block],TableLibrarySigns[SignCode]),""))</f>
        <v/>
      </c>
      <c r="O161" t="str">
        <f>IF(B161="","",IFERROR(_xlfn.XLOOKUP(B161,TableLibrarySigns[Block],TableLibrarySigns[IFCEntity]),""))</f>
        <v/>
      </c>
      <c r="P161" t="str">
        <f>IF(B161="","",IFERROR(_xlfn.XLOOKUP(B161,TableLibrarySigns[Block],TableLibrarySigns[Category]),""))</f>
        <v/>
      </c>
      <c r="Q161" t="str">
        <f>IF(B161="","",IFERROR(_xlfn.XLOOKUP(B161,TableLibrarySigns[Block],TableLibrarySigns[Normative]),""))</f>
        <v/>
      </c>
      <c r="R161" t="str">
        <f>IF(B161="","",IFERROR(_xlfn.XLOOKUP(B161,TableLibrarySigns[Block],TableLibrarySigns[Description]),""))</f>
        <v/>
      </c>
      <c r="S161" t="str">
        <f t="shared" si="10"/>
        <v/>
      </c>
      <c r="T161" t="str">
        <f>IF(B161="","",IFERROR(_xlfn.XLOOKUP(B161,TableLibrarySigns[Block],TableLibrarySigns[UnitTime]),""))</f>
        <v/>
      </c>
      <c r="U161" t="str">
        <f>IF(B161="","",IFERROR(_xlfn.XLOOKUP(B161,TableLibrarySigns[Block],TableLibrarySigns[UnitCost]),""))</f>
        <v/>
      </c>
      <c r="V161" t="str">
        <f t="shared" si="11"/>
        <v/>
      </c>
    </row>
    <row r="162" spans="1:22" ht="16.8" customHeight="1">
      <c r="A162" t="str">
        <f t="shared" si="12"/>
        <v/>
      </c>
      <c r="D162" s="2"/>
      <c r="E162" s="6" t="str">
        <f>IF(SignsTable[[#This Row],[PKValue]]="","",IF(D162="","",INT(D162/1000)&amp;"+"&amp;TEXT(MOD(D162,1000),"000.00")))</f>
        <v/>
      </c>
      <c r="J162" t="str">
        <f>IF(B162="","",IFERROR(_xlfn.XLOOKUP(B162,TableLibrarySigns[Block],TableLibrarySigns[Material]),""))</f>
        <v/>
      </c>
      <c r="K162" t="str">
        <f>IF(B162="","",IFERROR(_xlfn.XLOOKUP(B162,TableLibrarySigns[Block],TableLibrarySigns[RotationMode]),""))</f>
        <v/>
      </c>
      <c r="L162" t="str">
        <f>IF(B162="","",IFERROR(_xlfn.XLOOKUP(B162,TableLibrarySigns[Block],TableLibrarySigns[Layer]),""))</f>
        <v/>
      </c>
      <c r="M162" t="str">
        <f>IF(B162="","",IFERROR(_xlfn.XLOOKUP(B162,TableLibrarySigns[Block],TableLibrarySigns[DWGName]),""))</f>
        <v/>
      </c>
      <c r="N162" t="str">
        <f>IF(B162="","",IFERROR(_xlfn.XLOOKUP(B162,TableLibrarySigns[Block],TableLibrarySigns[SignCode]),""))</f>
        <v/>
      </c>
      <c r="O162" t="str">
        <f>IF(B162="","",IFERROR(_xlfn.XLOOKUP(B162,TableLibrarySigns[Block],TableLibrarySigns[IFCEntity]),""))</f>
        <v/>
      </c>
      <c r="P162" t="str">
        <f>IF(B162="","",IFERROR(_xlfn.XLOOKUP(B162,TableLibrarySigns[Block],TableLibrarySigns[Category]),""))</f>
        <v/>
      </c>
      <c r="Q162" t="str">
        <f>IF(B162="","",IFERROR(_xlfn.XLOOKUP(B162,TableLibrarySigns[Block],TableLibrarySigns[Normative]),""))</f>
        <v/>
      </c>
      <c r="R162" t="str">
        <f>IF(B162="","",IFERROR(_xlfn.XLOOKUP(B162,TableLibrarySigns[Block],TableLibrarySigns[Description]),""))</f>
        <v/>
      </c>
      <c r="S162" t="str">
        <f t="shared" ref="S162:S193" si="13">IF(B162="","",1)</f>
        <v/>
      </c>
      <c r="T162" t="str">
        <f>IF(B162="","",IFERROR(_xlfn.XLOOKUP(B162,TableLibrarySigns[Block],TableLibrarySigns[UnitTime]),""))</f>
        <v/>
      </c>
      <c r="U162" t="str">
        <f>IF(B162="","",IFERROR(_xlfn.XLOOKUP(B162,TableLibrarySigns[Block],TableLibrarySigns[UnitCost]),""))</f>
        <v/>
      </c>
      <c r="V162" t="str">
        <f t="shared" ref="V162:V193" si="14">IF(B162="","",S162*U162)</f>
        <v/>
      </c>
    </row>
    <row r="163" spans="1:22" ht="16.8" customHeight="1">
      <c r="A163" t="str">
        <f t="shared" si="12"/>
        <v/>
      </c>
      <c r="D163" s="2"/>
      <c r="E163" s="6" t="str">
        <f>IF(SignsTable[[#This Row],[PKValue]]="","",IF(D163="","",INT(D163/1000)&amp;"+"&amp;TEXT(MOD(D163,1000),"000.00")))</f>
        <v/>
      </c>
      <c r="J163" t="str">
        <f>IF(B163="","",IFERROR(_xlfn.XLOOKUP(B163,TableLibrarySigns[Block],TableLibrarySigns[Material]),""))</f>
        <v/>
      </c>
      <c r="K163" t="str">
        <f>IF(B163="","",IFERROR(_xlfn.XLOOKUP(B163,TableLibrarySigns[Block],TableLibrarySigns[RotationMode]),""))</f>
        <v/>
      </c>
      <c r="L163" t="str">
        <f>IF(B163="","",IFERROR(_xlfn.XLOOKUP(B163,TableLibrarySigns[Block],TableLibrarySigns[Layer]),""))</f>
        <v/>
      </c>
      <c r="M163" t="str">
        <f>IF(B163="","",IFERROR(_xlfn.XLOOKUP(B163,TableLibrarySigns[Block],TableLibrarySigns[DWGName]),""))</f>
        <v/>
      </c>
      <c r="N163" t="str">
        <f>IF(B163="","",IFERROR(_xlfn.XLOOKUP(B163,TableLibrarySigns[Block],TableLibrarySigns[SignCode]),""))</f>
        <v/>
      </c>
      <c r="O163" t="str">
        <f>IF(B163="","",IFERROR(_xlfn.XLOOKUP(B163,TableLibrarySigns[Block],TableLibrarySigns[IFCEntity]),""))</f>
        <v/>
      </c>
      <c r="P163" t="str">
        <f>IF(B163="","",IFERROR(_xlfn.XLOOKUP(B163,TableLibrarySigns[Block],TableLibrarySigns[Category]),""))</f>
        <v/>
      </c>
      <c r="Q163" t="str">
        <f>IF(B163="","",IFERROR(_xlfn.XLOOKUP(B163,TableLibrarySigns[Block],TableLibrarySigns[Normative]),""))</f>
        <v/>
      </c>
      <c r="R163" t="str">
        <f>IF(B163="","",IFERROR(_xlfn.XLOOKUP(B163,TableLibrarySigns[Block],TableLibrarySigns[Description]),""))</f>
        <v/>
      </c>
      <c r="S163" t="str">
        <f t="shared" si="13"/>
        <v/>
      </c>
      <c r="T163" t="str">
        <f>IF(B163="","",IFERROR(_xlfn.XLOOKUP(B163,TableLibrarySigns[Block],TableLibrarySigns[UnitTime]),""))</f>
        <v/>
      </c>
      <c r="U163" t="str">
        <f>IF(B163="","",IFERROR(_xlfn.XLOOKUP(B163,TableLibrarySigns[Block],TableLibrarySigns[UnitCost]),""))</f>
        <v/>
      </c>
      <c r="V163" t="str">
        <f t="shared" si="14"/>
        <v/>
      </c>
    </row>
    <row r="164" spans="1:22" ht="16.8" customHeight="1">
      <c r="A164" t="str">
        <f t="shared" si="12"/>
        <v/>
      </c>
      <c r="D164" s="2"/>
      <c r="E164" s="6" t="str">
        <f>IF(SignsTable[[#This Row],[PKValue]]="","",IF(D164="","",INT(D164/1000)&amp;"+"&amp;TEXT(MOD(D164,1000),"000.00")))</f>
        <v/>
      </c>
      <c r="J164" t="str">
        <f>IF(B164="","",IFERROR(_xlfn.XLOOKUP(B164,TableLibrarySigns[Block],TableLibrarySigns[Material]),""))</f>
        <v/>
      </c>
      <c r="K164" t="str">
        <f>IF(B164="","",IFERROR(_xlfn.XLOOKUP(B164,TableLibrarySigns[Block],TableLibrarySigns[RotationMode]),""))</f>
        <v/>
      </c>
      <c r="L164" t="str">
        <f>IF(B164="","",IFERROR(_xlfn.XLOOKUP(B164,TableLibrarySigns[Block],TableLibrarySigns[Layer]),""))</f>
        <v/>
      </c>
      <c r="M164" t="str">
        <f>IF(B164="","",IFERROR(_xlfn.XLOOKUP(B164,TableLibrarySigns[Block],TableLibrarySigns[DWGName]),""))</f>
        <v/>
      </c>
      <c r="N164" t="str">
        <f>IF(B164="","",IFERROR(_xlfn.XLOOKUP(B164,TableLibrarySigns[Block],TableLibrarySigns[SignCode]),""))</f>
        <v/>
      </c>
      <c r="O164" t="str">
        <f>IF(B164="","",IFERROR(_xlfn.XLOOKUP(B164,TableLibrarySigns[Block],TableLibrarySigns[IFCEntity]),""))</f>
        <v/>
      </c>
      <c r="P164" t="str">
        <f>IF(B164="","",IFERROR(_xlfn.XLOOKUP(B164,TableLibrarySigns[Block],TableLibrarySigns[Category]),""))</f>
        <v/>
      </c>
      <c r="Q164" t="str">
        <f>IF(B164="","",IFERROR(_xlfn.XLOOKUP(B164,TableLibrarySigns[Block],TableLibrarySigns[Normative]),""))</f>
        <v/>
      </c>
      <c r="R164" t="str">
        <f>IF(B164="","",IFERROR(_xlfn.XLOOKUP(B164,TableLibrarySigns[Block],TableLibrarySigns[Description]),""))</f>
        <v/>
      </c>
      <c r="S164" t="str">
        <f t="shared" si="13"/>
        <v/>
      </c>
      <c r="T164" t="str">
        <f>IF(B164="","",IFERROR(_xlfn.XLOOKUP(B164,TableLibrarySigns[Block],TableLibrarySigns[UnitTime]),""))</f>
        <v/>
      </c>
      <c r="U164" t="str">
        <f>IF(B164="","",IFERROR(_xlfn.XLOOKUP(B164,TableLibrarySigns[Block],TableLibrarySigns[UnitCost]),""))</f>
        <v/>
      </c>
      <c r="V164" t="str">
        <f t="shared" si="14"/>
        <v/>
      </c>
    </row>
    <row r="165" spans="1:22" ht="16.8" customHeight="1">
      <c r="A165" t="str">
        <f t="shared" si="12"/>
        <v/>
      </c>
      <c r="D165" s="2"/>
      <c r="E165" s="6" t="str">
        <f>IF(SignsTable[[#This Row],[PKValue]]="","",IF(D165="","",INT(D165/1000)&amp;"+"&amp;TEXT(MOD(D165,1000),"000.00")))</f>
        <v/>
      </c>
      <c r="J165" t="str">
        <f>IF(B165="","",IFERROR(_xlfn.XLOOKUP(B165,TableLibrarySigns[Block],TableLibrarySigns[Material]),""))</f>
        <v/>
      </c>
      <c r="K165" t="str">
        <f>IF(B165="","",IFERROR(_xlfn.XLOOKUP(B165,TableLibrarySigns[Block],TableLibrarySigns[RotationMode]),""))</f>
        <v/>
      </c>
      <c r="L165" t="str">
        <f>IF(B165="","",IFERROR(_xlfn.XLOOKUP(B165,TableLibrarySigns[Block],TableLibrarySigns[Layer]),""))</f>
        <v/>
      </c>
      <c r="M165" t="str">
        <f>IF(B165="","",IFERROR(_xlfn.XLOOKUP(B165,TableLibrarySigns[Block],TableLibrarySigns[DWGName]),""))</f>
        <v/>
      </c>
      <c r="N165" t="str">
        <f>IF(B165="","",IFERROR(_xlfn.XLOOKUP(B165,TableLibrarySigns[Block],TableLibrarySigns[SignCode]),""))</f>
        <v/>
      </c>
      <c r="O165" t="str">
        <f>IF(B165="","",IFERROR(_xlfn.XLOOKUP(B165,TableLibrarySigns[Block],TableLibrarySigns[IFCEntity]),""))</f>
        <v/>
      </c>
      <c r="P165" t="str">
        <f>IF(B165="","",IFERROR(_xlfn.XLOOKUP(B165,TableLibrarySigns[Block],TableLibrarySigns[Category]),""))</f>
        <v/>
      </c>
      <c r="Q165" t="str">
        <f>IF(B165="","",IFERROR(_xlfn.XLOOKUP(B165,TableLibrarySigns[Block],TableLibrarySigns[Normative]),""))</f>
        <v/>
      </c>
      <c r="R165" t="str">
        <f>IF(B165="","",IFERROR(_xlfn.XLOOKUP(B165,TableLibrarySigns[Block],TableLibrarySigns[Description]),""))</f>
        <v/>
      </c>
      <c r="S165" t="str">
        <f t="shared" si="13"/>
        <v/>
      </c>
      <c r="T165" t="str">
        <f>IF(B165="","",IFERROR(_xlfn.XLOOKUP(B165,TableLibrarySigns[Block],TableLibrarySigns[UnitTime]),""))</f>
        <v/>
      </c>
      <c r="U165" t="str">
        <f>IF(B165="","",IFERROR(_xlfn.XLOOKUP(B165,TableLibrarySigns[Block],TableLibrarySigns[UnitCost]),""))</f>
        <v/>
      </c>
      <c r="V165" t="str">
        <f t="shared" si="14"/>
        <v/>
      </c>
    </row>
    <row r="166" spans="1:22" ht="16.8" customHeight="1">
      <c r="A166" t="str">
        <f t="shared" si="12"/>
        <v/>
      </c>
      <c r="D166" s="2"/>
      <c r="E166" s="6" t="str">
        <f>IF(SignsTable[[#This Row],[PKValue]]="","",IF(D166="","",INT(D166/1000)&amp;"+"&amp;TEXT(MOD(D166,1000),"000.00")))</f>
        <v/>
      </c>
      <c r="J166" t="str">
        <f>IF(B166="","",IFERROR(_xlfn.XLOOKUP(B166,TableLibrarySigns[Block],TableLibrarySigns[Material]),""))</f>
        <v/>
      </c>
      <c r="K166" t="str">
        <f>IF(B166="","",IFERROR(_xlfn.XLOOKUP(B166,TableLibrarySigns[Block],TableLibrarySigns[RotationMode]),""))</f>
        <v/>
      </c>
      <c r="L166" t="str">
        <f>IF(B166="","",IFERROR(_xlfn.XLOOKUP(B166,TableLibrarySigns[Block],TableLibrarySigns[Layer]),""))</f>
        <v/>
      </c>
      <c r="M166" t="str">
        <f>IF(B166="","",IFERROR(_xlfn.XLOOKUP(B166,TableLibrarySigns[Block],TableLibrarySigns[DWGName]),""))</f>
        <v/>
      </c>
      <c r="N166" t="str">
        <f>IF(B166="","",IFERROR(_xlfn.XLOOKUP(B166,TableLibrarySigns[Block],TableLibrarySigns[SignCode]),""))</f>
        <v/>
      </c>
      <c r="O166" t="str">
        <f>IF(B166="","",IFERROR(_xlfn.XLOOKUP(B166,TableLibrarySigns[Block],TableLibrarySigns[IFCEntity]),""))</f>
        <v/>
      </c>
      <c r="P166" t="str">
        <f>IF(B166="","",IFERROR(_xlfn.XLOOKUP(B166,TableLibrarySigns[Block],TableLibrarySigns[Category]),""))</f>
        <v/>
      </c>
      <c r="Q166" t="str">
        <f>IF(B166="","",IFERROR(_xlfn.XLOOKUP(B166,TableLibrarySigns[Block],TableLibrarySigns[Normative]),""))</f>
        <v/>
      </c>
      <c r="R166" t="str">
        <f>IF(B166="","",IFERROR(_xlfn.XLOOKUP(B166,TableLibrarySigns[Block],TableLibrarySigns[Description]),""))</f>
        <v/>
      </c>
      <c r="S166" t="str">
        <f t="shared" si="13"/>
        <v/>
      </c>
      <c r="T166" t="str">
        <f>IF(B166="","",IFERROR(_xlfn.XLOOKUP(B166,TableLibrarySigns[Block],TableLibrarySigns[UnitTime]),""))</f>
        <v/>
      </c>
      <c r="U166" t="str">
        <f>IF(B166="","",IFERROR(_xlfn.XLOOKUP(B166,TableLibrarySigns[Block],TableLibrarySigns[UnitCost]),""))</f>
        <v/>
      </c>
      <c r="V166" t="str">
        <f t="shared" si="14"/>
        <v/>
      </c>
    </row>
    <row r="167" spans="1:22" ht="16.8" customHeight="1">
      <c r="A167" t="str">
        <f t="shared" si="12"/>
        <v/>
      </c>
      <c r="D167" s="2"/>
      <c r="E167" s="6" t="str">
        <f>IF(SignsTable[[#This Row],[PKValue]]="","",IF(D167="","",INT(D167/1000)&amp;"+"&amp;TEXT(MOD(D167,1000),"000.00")))</f>
        <v/>
      </c>
      <c r="J167" t="str">
        <f>IF(B167="","",IFERROR(_xlfn.XLOOKUP(B167,TableLibrarySigns[Block],TableLibrarySigns[Material]),""))</f>
        <v/>
      </c>
      <c r="K167" t="str">
        <f>IF(B167="","",IFERROR(_xlfn.XLOOKUP(B167,TableLibrarySigns[Block],TableLibrarySigns[RotationMode]),""))</f>
        <v/>
      </c>
      <c r="L167" t="str">
        <f>IF(B167="","",IFERROR(_xlfn.XLOOKUP(B167,TableLibrarySigns[Block],TableLibrarySigns[Layer]),""))</f>
        <v/>
      </c>
      <c r="M167" t="str">
        <f>IF(B167="","",IFERROR(_xlfn.XLOOKUP(B167,TableLibrarySigns[Block],TableLibrarySigns[DWGName]),""))</f>
        <v/>
      </c>
      <c r="N167" t="str">
        <f>IF(B167="","",IFERROR(_xlfn.XLOOKUP(B167,TableLibrarySigns[Block],TableLibrarySigns[SignCode]),""))</f>
        <v/>
      </c>
      <c r="O167" t="str">
        <f>IF(B167="","",IFERROR(_xlfn.XLOOKUP(B167,TableLibrarySigns[Block],TableLibrarySigns[IFCEntity]),""))</f>
        <v/>
      </c>
      <c r="P167" t="str">
        <f>IF(B167="","",IFERROR(_xlfn.XLOOKUP(B167,TableLibrarySigns[Block],TableLibrarySigns[Category]),""))</f>
        <v/>
      </c>
      <c r="Q167" t="str">
        <f>IF(B167="","",IFERROR(_xlfn.XLOOKUP(B167,TableLibrarySigns[Block],TableLibrarySigns[Normative]),""))</f>
        <v/>
      </c>
      <c r="R167" t="str">
        <f>IF(B167="","",IFERROR(_xlfn.XLOOKUP(B167,TableLibrarySigns[Block],TableLibrarySigns[Description]),""))</f>
        <v/>
      </c>
      <c r="S167" t="str">
        <f t="shared" si="13"/>
        <v/>
      </c>
      <c r="T167" t="str">
        <f>IF(B167="","",IFERROR(_xlfn.XLOOKUP(B167,TableLibrarySigns[Block],TableLibrarySigns[UnitTime]),""))</f>
        <v/>
      </c>
      <c r="U167" t="str">
        <f>IF(B167="","",IFERROR(_xlfn.XLOOKUP(B167,TableLibrarySigns[Block],TableLibrarySigns[UnitCost]),""))</f>
        <v/>
      </c>
      <c r="V167" t="str">
        <f t="shared" si="14"/>
        <v/>
      </c>
    </row>
    <row r="168" spans="1:22" ht="16.8" customHeight="1">
      <c r="A168" t="str">
        <f t="shared" si="12"/>
        <v/>
      </c>
      <c r="D168" s="2"/>
      <c r="E168" s="6" t="str">
        <f>IF(SignsTable[[#This Row],[PKValue]]="","",IF(D168="","",INT(D168/1000)&amp;"+"&amp;TEXT(MOD(D168,1000),"000.00")))</f>
        <v/>
      </c>
      <c r="J168" t="str">
        <f>IF(B168="","",IFERROR(_xlfn.XLOOKUP(B168,TableLibrarySigns[Block],TableLibrarySigns[Material]),""))</f>
        <v/>
      </c>
      <c r="K168" t="str">
        <f>IF(B168="","",IFERROR(_xlfn.XLOOKUP(B168,TableLibrarySigns[Block],TableLibrarySigns[RotationMode]),""))</f>
        <v/>
      </c>
      <c r="L168" t="str">
        <f>IF(B168="","",IFERROR(_xlfn.XLOOKUP(B168,TableLibrarySigns[Block],TableLibrarySigns[Layer]),""))</f>
        <v/>
      </c>
      <c r="M168" t="str">
        <f>IF(B168="","",IFERROR(_xlfn.XLOOKUP(B168,TableLibrarySigns[Block],TableLibrarySigns[DWGName]),""))</f>
        <v/>
      </c>
      <c r="N168" t="str">
        <f>IF(B168="","",IFERROR(_xlfn.XLOOKUP(B168,TableLibrarySigns[Block],TableLibrarySigns[SignCode]),""))</f>
        <v/>
      </c>
      <c r="O168" t="str">
        <f>IF(B168="","",IFERROR(_xlfn.XLOOKUP(B168,TableLibrarySigns[Block],TableLibrarySigns[IFCEntity]),""))</f>
        <v/>
      </c>
      <c r="P168" t="str">
        <f>IF(B168="","",IFERROR(_xlfn.XLOOKUP(B168,TableLibrarySigns[Block],TableLibrarySigns[Category]),""))</f>
        <v/>
      </c>
      <c r="Q168" t="str">
        <f>IF(B168="","",IFERROR(_xlfn.XLOOKUP(B168,TableLibrarySigns[Block],TableLibrarySigns[Normative]),""))</f>
        <v/>
      </c>
      <c r="R168" t="str">
        <f>IF(B168="","",IFERROR(_xlfn.XLOOKUP(B168,TableLibrarySigns[Block],TableLibrarySigns[Description]),""))</f>
        <v/>
      </c>
      <c r="S168" t="str">
        <f t="shared" si="13"/>
        <v/>
      </c>
      <c r="T168" t="str">
        <f>IF(B168="","",IFERROR(_xlfn.XLOOKUP(B168,TableLibrarySigns[Block],TableLibrarySigns[UnitTime]),""))</f>
        <v/>
      </c>
      <c r="U168" t="str">
        <f>IF(B168="","",IFERROR(_xlfn.XLOOKUP(B168,TableLibrarySigns[Block],TableLibrarySigns[UnitCost]),""))</f>
        <v/>
      </c>
      <c r="V168" t="str">
        <f t="shared" si="14"/>
        <v/>
      </c>
    </row>
    <row r="169" spans="1:22" ht="16.8" customHeight="1">
      <c r="A169" t="str">
        <f t="shared" si="12"/>
        <v/>
      </c>
      <c r="D169" s="2"/>
      <c r="E169" s="6" t="str">
        <f>IF(SignsTable[[#This Row],[PKValue]]="","",IF(D169="","",INT(D169/1000)&amp;"+"&amp;TEXT(MOD(D169,1000),"000.00")))</f>
        <v/>
      </c>
      <c r="J169" t="str">
        <f>IF(B169="","",IFERROR(_xlfn.XLOOKUP(B169,TableLibrarySigns[Block],TableLibrarySigns[Material]),""))</f>
        <v/>
      </c>
      <c r="K169" t="str">
        <f>IF(B169="","",IFERROR(_xlfn.XLOOKUP(B169,TableLibrarySigns[Block],TableLibrarySigns[RotationMode]),""))</f>
        <v/>
      </c>
      <c r="L169" t="str">
        <f>IF(B169="","",IFERROR(_xlfn.XLOOKUP(B169,TableLibrarySigns[Block],TableLibrarySigns[Layer]),""))</f>
        <v/>
      </c>
      <c r="M169" t="str">
        <f>IF(B169="","",IFERROR(_xlfn.XLOOKUP(B169,TableLibrarySigns[Block],TableLibrarySigns[DWGName]),""))</f>
        <v/>
      </c>
      <c r="N169" t="str">
        <f>IF(B169="","",IFERROR(_xlfn.XLOOKUP(B169,TableLibrarySigns[Block],TableLibrarySigns[SignCode]),""))</f>
        <v/>
      </c>
      <c r="O169" t="str">
        <f>IF(B169="","",IFERROR(_xlfn.XLOOKUP(B169,TableLibrarySigns[Block],TableLibrarySigns[IFCEntity]),""))</f>
        <v/>
      </c>
      <c r="P169" t="str">
        <f>IF(B169="","",IFERROR(_xlfn.XLOOKUP(B169,TableLibrarySigns[Block],TableLibrarySigns[Category]),""))</f>
        <v/>
      </c>
      <c r="Q169" t="str">
        <f>IF(B169="","",IFERROR(_xlfn.XLOOKUP(B169,TableLibrarySigns[Block],TableLibrarySigns[Normative]),""))</f>
        <v/>
      </c>
      <c r="R169" t="str">
        <f>IF(B169="","",IFERROR(_xlfn.XLOOKUP(B169,TableLibrarySigns[Block],TableLibrarySigns[Description]),""))</f>
        <v/>
      </c>
      <c r="S169" t="str">
        <f t="shared" si="13"/>
        <v/>
      </c>
      <c r="T169" t="str">
        <f>IF(B169="","",IFERROR(_xlfn.XLOOKUP(B169,TableLibrarySigns[Block],TableLibrarySigns[UnitTime]),""))</f>
        <v/>
      </c>
      <c r="U169" t="str">
        <f>IF(B169="","",IFERROR(_xlfn.XLOOKUP(B169,TableLibrarySigns[Block],TableLibrarySigns[UnitCost]),""))</f>
        <v/>
      </c>
      <c r="V169" t="str">
        <f t="shared" si="14"/>
        <v/>
      </c>
    </row>
    <row r="170" spans="1:22" ht="16.8" customHeight="1">
      <c r="A170" t="str">
        <f t="shared" si="12"/>
        <v/>
      </c>
      <c r="D170" s="2"/>
      <c r="E170" s="6" t="str">
        <f>IF(SignsTable[[#This Row],[PKValue]]="","",IF(D170="","",INT(D170/1000)&amp;"+"&amp;TEXT(MOD(D170,1000),"000.00")))</f>
        <v/>
      </c>
      <c r="J170" t="str">
        <f>IF(B170="","",IFERROR(_xlfn.XLOOKUP(B170,TableLibrarySigns[Block],TableLibrarySigns[Material]),""))</f>
        <v/>
      </c>
      <c r="K170" t="str">
        <f>IF(B170="","",IFERROR(_xlfn.XLOOKUP(B170,TableLibrarySigns[Block],TableLibrarySigns[RotationMode]),""))</f>
        <v/>
      </c>
      <c r="L170" t="str">
        <f>IF(B170="","",IFERROR(_xlfn.XLOOKUP(B170,TableLibrarySigns[Block],TableLibrarySigns[Layer]),""))</f>
        <v/>
      </c>
      <c r="M170" t="str">
        <f>IF(B170="","",IFERROR(_xlfn.XLOOKUP(B170,TableLibrarySigns[Block],TableLibrarySigns[DWGName]),""))</f>
        <v/>
      </c>
      <c r="N170" t="str">
        <f>IF(B170="","",IFERROR(_xlfn.XLOOKUP(B170,TableLibrarySigns[Block],TableLibrarySigns[SignCode]),""))</f>
        <v/>
      </c>
      <c r="O170" t="str">
        <f>IF(B170="","",IFERROR(_xlfn.XLOOKUP(B170,TableLibrarySigns[Block],TableLibrarySigns[IFCEntity]),""))</f>
        <v/>
      </c>
      <c r="P170" t="str">
        <f>IF(B170="","",IFERROR(_xlfn.XLOOKUP(B170,TableLibrarySigns[Block],TableLibrarySigns[Category]),""))</f>
        <v/>
      </c>
      <c r="Q170" t="str">
        <f>IF(B170="","",IFERROR(_xlfn.XLOOKUP(B170,TableLibrarySigns[Block],TableLibrarySigns[Normative]),""))</f>
        <v/>
      </c>
      <c r="R170" t="str">
        <f>IF(B170="","",IFERROR(_xlfn.XLOOKUP(B170,TableLibrarySigns[Block],TableLibrarySigns[Description]),""))</f>
        <v/>
      </c>
      <c r="S170" t="str">
        <f t="shared" si="13"/>
        <v/>
      </c>
      <c r="T170" t="str">
        <f>IF(B170="","",IFERROR(_xlfn.XLOOKUP(B170,TableLibrarySigns[Block],TableLibrarySigns[UnitTime]),""))</f>
        <v/>
      </c>
      <c r="U170" t="str">
        <f>IF(B170="","",IFERROR(_xlfn.XLOOKUP(B170,TableLibrarySigns[Block],TableLibrarySigns[UnitCost]),""))</f>
        <v/>
      </c>
      <c r="V170" t="str">
        <f t="shared" si="14"/>
        <v/>
      </c>
    </row>
    <row r="171" spans="1:22" ht="16.8" customHeight="1">
      <c r="A171" t="str">
        <f t="shared" si="12"/>
        <v/>
      </c>
      <c r="D171" s="2"/>
      <c r="E171" s="6" t="str">
        <f>IF(SignsTable[[#This Row],[PKValue]]="","",IF(D171="","",INT(D171/1000)&amp;"+"&amp;TEXT(MOD(D171,1000),"000.00")))</f>
        <v/>
      </c>
      <c r="J171" t="str">
        <f>IF(B171="","",IFERROR(_xlfn.XLOOKUP(B171,TableLibrarySigns[Block],TableLibrarySigns[Material]),""))</f>
        <v/>
      </c>
      <c r="K171" t="str">
        <f>IF(B171="","",IFERROR(_xlfn.XLOOKUP(B171,TableLibrarySigns[Block],TableLibrarySigns[RotationMode]),""))</f>
        <v/>
      </c>
      <c r="L171" t="str">
        <f>IF(B171="","",IFERROR(_xlfn.XLOOKUP(B171,TableLibrarySigns[Block],TableLibrarySigns[Layer]),""))</f>
        <v/>
      </c>
      <c r="M171" t="str">
        <f>IF(B171="","",IFERROR(_xlfn.XLOOKUP(B171,TableLibrarySigns[Block],TableLibrarySigns[DWGName]),""))</f>
        <v/>
      </c>
      <c r="N171" t="str">
        <f>IF(B171="","",IFERROR(_xlfn.XLOOKUP(B171,TableLibrarySigns[Block],TableLibrarySigns[SignCode]),""))</f>
        <v/>
      </c>
      <c r="O171" t="str">
        <f>IF(B171="","",IFERROR(_xlfn.XLOOKUP(B171,TableLibrarySigns[Block],TableLibrarySigns[IFCEntity]),""))</f>
        <v/>
      </c>
      <c r="P171" t="str">
        <f>IF(B171="","",IFERROR(_xlfn.XLOOKUP(B171,TableLibrarySigns[Block],TableLibrarySigns[Category]),""))</f>
        <v/>
      </c>
      <c r="Q171" t="str">
        <f>IF(B171="","",IFERROR(_xlfn.XLOOKUP(B171,TableLibrarySigns[Block],TableLibrarySigns[Normative]),""))</f>
        <v/>
      </c>
      <c r="R171" t="str">
        <f>IF(B171="","",IFERROR(_xlfn.XLOOKUP(B171,TableLibrarySigns[Block],TableLibrarySigns[Description]),""))</f>
        <v/>
      </c>
      <c r="S171" t="str">
        <f t="shared" si="13"/>
        <v/>
      </c>
      <c r="T171" t="str">
        <f>IF(B171="","",IFERROR(_xlfn.XLOOKUP(B171,TableLibrarySigns[Block],TableLibrarySigns[UnitTime]),""))</f>
        <v/>
      </c>
      <c r="U171" t="str">
        <f>IF(B171="","",IFERROR(_xlfn.XLOOKUP(B171,TableLibrarySigns[Block],TableLibrarySigns[UnitCost]),""))</f>
        <v/>
      </c>
      <c r="V171" t="str">
        <f t="shared" si="14"/>
        <v/>
      </c>
    </row>
    <row r="172" spans="1:22" ht="16.8" customHeight="1">
      <c r="A172" t="str">
        <f t="shared" si="12"/>
        <v/>
      </c>
      <c r="D172" s="2"/>
      <c r="E172" s="6" t="str">
        <f>IF(SignsTable[[#This Row],[PKValue]]="","",IF(D172="","",INT(D172/1000)&amp;"+"&amp;TEXT(MOD(D172,1000),"000.00")))</f>
        <v/>
      </c>
      <c r="J172" t="str">
        <f>IF(B172="","",IFERROR(_xlfn.XLOOKUP(B172,TableLibrarySigns[Block],TableLibrarySigns[Material]),""))</f>
        <v/>
      </c>
      <c r="K172" t="str">
        <f>IF(B172="","",IFERROR(_xlfn.XLOOKUP(B172,TableLibrarySigns[Block],TableLibrarySigns[RotationMode]),""))</f>
        <v/>
      </c>
      <c r="L172" t="str">
        <f>IF(B172="","",IFERROR(_xlfn.XLOOKUP(B172,TableLibrarySigns[Block],TableLibrarySigns[Layer]),""))</f>
        <v/>
      </c>
      <c r="M172" t="str">
        <f>IF(B172="","",IFERROR(_xlfn.XLOOKUP(B172,TableLibrarySigns[Block],TableLibrarySigns[DWGName]),""))</f>
        <v/>
      </c>
      <c r="N172" t="str">
        <f>IF(B172="","",IFERROR(_xlfn.XLOOKUP(B172,TableLibrarySigns[Block],TableLibrarySigns[SignCode]),""))</f>
        <v/>
      </c>
      <c r="O172" t="str">
        <f>IF(B172="","",IFERROR(_xlfn.XLOOKUP(B172,TableLibrarySigns[Block],TableLibrarySigns[IFCEntity]),""))</f>
        <v/>
      </c>
      <c r="P172" t="str">
        <f>IF(B172="","",IFERROR(_xlfn.XLOOKUP(B172,TableLibrarySigns[Block],TableLibrarySigns[Category]),""))</f>
        <v/>
      </c>
      <c r="Q172" t="str">
        <f>IF(B172="","",IFERROR(_xlfn.XLOOKUP(B172,TableLibrarySigns[Block],TableLibrarySigns[Normative]),""))</f>
        <v/>
      </c>
      <c r="R172" t="str">
        <f>IF(B172="","",IFERROR(_xlfn.XLOOKUP(B172,TableLibrarySigns[Block],TableLibrarySigns[Description]),""))</f>
        <v/>
      </c>
      <c r="S172" t="str">
        <f t="shared" si="13"/>
        <v/>
      </c>
      <c r="T172" t="str">
        <f>IF(B172="","",IFERROR(_xlfn.XLOOKUP(B172,TableLibrarySigns[Block],TableLibrarySigns[UnitTime]),""))</f>
        <v/>
      </c>
      <c r="U172" t="str">
        <f>IF(B172="","",IFERROR(_xlfn.XLOOKUP(B172,TableLibrarySigns[Block],TableLibrarySigns[UnitCost]),""))</f>
        <v/>
      </c>
      <c r="V172" t="str">
        <f t="shared" si="14"/>
        <v/>
      </c>
    </row>
    <row r="173" spans="1:22" ht="16.8" customHeight="1">
      <c r="A173" t="str">
        <f t="shared" si="12"/>
        <v/>
      </c>
      <c r="D173" s="2"/>
      <c r="E173" s="6" t="str">
        <f>IF(SignsTable[[#This Row],[PKValue]]="","",IF(D173="","",INT(D173/1000)&amp;"+"&amp;TEXT(MOD(D173,1000),"000.00")))</f>
        <v/>
      </c>
      <c r="J173" t="str">
        <f>IF(B173="","",IFERROR(_xlfn.XLOOKUP(B173,TableLibrarySigns[Block],TableLibrarySigns[Material]),""))</f>
        <v/>
      </c>
      <c r="K173" t="str">
        <f>IF(B173="","",IFERROR(_xlfn.XLOOKUP(B173,TableLibrarySigns[Block],TableLibrarySigns[RotationMode]),""))</f>
        <v/>
      </c>
      <c r="L173" t="str">
        <f>IF(B173="","",IFERROR(_xlfn.XLOOKUP(B173,TableLibrarySigns[Block],TableLibrarySigns[Layer]),""))</f>
        <v/>
      </c>
      <c r="M173" t="str">
        <f>IF(B173="","",IFERROR(_xlfn.XLOOKUP(B173,TableLibrarySigns[Block],TableLibrarySigns[DWGName]),""))</f>
        <v/>
      </c>
      <c r="N173" t="str">
        <f>IF(B173="","",IFERROR(_xlfn.XLOOKUP(B173,TableLibrarySigns[Block],TableLibrarySigns[SignCode]),""))</f>
        <v/>
      </c>
      <c r="O173" t="str">
        <f>IF(B173="","",IFERROR(_xlfn.XLOOKUP(B173,TableLibrarySigns[Block],TableLibrarySigns[IFCEntity]),""))</f>
        <v/>
      </c>
      <c r="P173" t="str">
        <f>IF(B173="","",IFERROR(_xlfn.XLOOKUP(B173,TableLibrarySigns[Block],TableLibrarySigns[Category]),""))</f>
        <v/>
      </c>
      <c r="Q173" t="str">
        <f>IF(B173="","",IFERROR(_xlfn.XLOOKUP(B173,TableLibrarySigns[Block],TableLibrarySigns[Normative]),""))</f>
        <v/>
      </c>
      <c r="R173" t="str">
        <f>IF(B173="","",IFERROR(_xlfn.XLOOKUP(B173,TableLibrarySigns[Block],TableLibrarySigns[Description]),""))</f>
        <v/>
      </c>
      <c r="S173" t="str">
        <f t="shared" si="13"/>
        <v/>
      </c>
      <c r="T173" t="str">
        <f>IF(B173="","",IFERROR(_xlfn.XLOOKUP(B173,TableLibrarySigns[Block],TableLibrarySigns[UnitTime]),""))</f>
        <v/>
      </c>
      <c r="U173" t="str">
        <f>IF(B173="","",IFERROR(_xlfn.XLOOKUP(B173,TableLibrarySigns[Block],TableLibrarySigns[UnitCost]),""))</f>
        <v/>
      </c>
      <c r="V173" t="str">
        <f t="shared" si="14"/>
        <v/>
      </c>
    </row>
    <row r="174" spans="1:22" ht="16.8" customHeight="1">
      <c r="A174" t="str">
        <f t="shared" si="12"/>
        <v/>
      </c>
      <c r="D174" s="2"/>
      <c r="E174" s="6" t="str">
        <f>IF(SignsTable[[#This Row],[PKValue]]="","",IF(D174="","",INT(D174/1000)&amp;"+"&amp;TEXT(MOD(D174,1000),"000.00")))</f>
        <v/>
      </c>
      <c r="J174" t="str">
        <f>IF(B174="","",IFERROR(_xlfn.XLOOKUP(B174,TableLibrarySigns[Block],TableLibrarySigns[Material]),""))</f>
        <v/>
      </c>
      <c r="K174" t="str">
        <f>IF(B174="","",IFERROR(_xlfn.XLOOKUP(B174,TableLibrarySigns[Block],TableLibrarySigns[RotationMode]),""))</f>
        <v/>
      </c>
      <c r="L174" t="str">
        <f>IF(B174="","",IFERROR(_xlfn.XLOOKUP(B174,TableLibrarySigns[Block],TableLibrarySigns[Layer]),""))</f>
        <v/>
      </c>
      <c r="M174" t="str">
        <f>IF(B174="","",IFERROR(_xlfn.XLOOKUP(B174,TableLibrarySigns[Block],TableLibrarySigns[DWGName]),""))</f>
        <v/>
      </c>
      <c r="N174" t="str">
        <f>IF(B174="","",IFERROR(_xlfn.XLOOKUP(B174,TableLibrarySigns[Block],TableLibrarySigns[SignCode]),""))</f>
        <v/>
      </c>
      <c r="O174" t="str">
        <f>IF(B174="","",IFERROR(_xlfn.XLOOKUP(B174,TableLibrarySigns[Block],TableLibrarySigns[IFCEntity]),""))</f>
        <v/>
      </c>
      <c r="P174" t="str">
        <f>IF(B174="","",IFERROR(_xlfn.XLOOKUP(B174,TableLibrarySigns[Block],TableLibrarySigns[Category]),""))</f>
        <v/>
      </c>
      <c r="Q174" t="str">
        <f>IF(B174="","",IFERROR(_xlfn.XLOOKUP(B174,TableLibrarySigns[Block],TableLibrarySigns[Normative]),""))</f>
        <v/>
      </c>
      <c r="R174" t="str">
        <f>IF(B174="","",IFERROR(_xlfn.XLOOKUP(B174,TableLibrarySigns[Block],TableLibrarySigns[Description]),""))</f>
        <v/>
      </c>
      <c r="S174" t="str">
        <f t="shared" si="13"/>
        <v/>
      </c>
      <c r="T174" t="str">
        <f>IF(B174="","",IFERROR(_xlfn.XLOOKUP(B174,TableLibrarySigns[Block],TableLibrarySigns[UnitTime]),""))</f>
        <v/>
      </c>
      <c r="U174" t="str">
        <f>IF(B174="","",IFERROR(_xlfn.XLOOKUP(B174,TableLibrarySigns[Block],TableLibrarySigns[UnitCost]),""))</f>
        <v/>
      </c>
      <c r="V174" t="str">
        <f t="shared" si="14"/>
        <v/>
      </c>
    </row>
    <row r="175" spans="1:22" ht="16.8" customHeight="1">
      <c r="A175" t="str">
        <f t="shared" si="12"/>
        <v/>
      </c>
      <c r="D175" s="2"/>
      <c r="E175" s="6" t="str">
        <f>IF(SignsTable[[#This Row],[PKValue]]="","",IF(D175="","",INT(D175/1000)&amp;"+"&amp;TEXT(MOD(D175,1000),"000.00")))</f>
        <v/>
      </c>
      <c r="J175" t="str">
        <f>IF(B175="","",IFERROR(_xlfn.XLOOKUP(B175,TableLibrarySigns[Block],TableLibrarySigns[Material]),""))</f>
        <v/>
      </c>
      <c r="K175" t="str">
        <f>IF(B175="","",IFERROR(_xlfn.XLOOKUP(B175,TableLibrarySigns[Block],TableLibrarySigns[RotationMode]),""))</f>
        <v/>
      </c>
      <c r="L175" t="str">
        <f>IF(B175="","",IFERROR(_xlfn.XLOOKUP(B175,TableLibrarySigns[Block],TableLibrarySigns[Layer]),""))</f>
        <v/>
      </c>
      <c r="M175" t="str">
        <f>IF(B175="","",IFERROR(_xlfn.XLOOKUP(B175,TableLibrarySigns[Block],TableLibrarySigns[DWGName]),""))</f>
        <v/>
      </c>
      <c r="N175" t="str">
        <f>IF(B175="","",IFERROR(_xlfn.XLOOKUP(B175,TableLibrarySigns[Block],TableLibrarySigns[SignCode]),""))</f>
        <v/>
      </c>
      <c r="O175" t="str">
        <f>IF(B175="","",IFERROR(_xlfn.XLOOKUP(B175,TableLibrarySigns[Block],TableLibrarySigns[IFCEntity]),""))</f>
        <v/>
      </c>
      <c r="P175" t="str">
        <f>IF(B175="","",IFERROR(_xlfn.XLOOKUP(B175,TableLibrarySigns[Block],TableLibrarySigns[Category]),""))</f>
        <v/>
      </c>
      <c r="Q175" t="str">
        <f>IF(B175="","",IFERROR(_xlfn.XLOOKUP(B175,TableLibrarySigns[Block],TableLibrarySigns[Normative]),""))</f>
        <v/>
      </c>
      <c r="R175" t="str">
        <f>IF(B175="","",IFERROR(_xlfn.XLOOKUP(B175,TableLibrarySigns[Block],TableLibrarySigns[Description]),""))</f>
        <v/>
      </c>
      <c r="S175" t="str">
        <f t="shared" si="13"/>
        <v/>
      </c>
      <c r="T175" t="str">
        <f>IF(B175="","",IFERROR(_xlfn.XLOOKUP(B175,TableLibrarySigns[Block],TableLibrarySigns[UnitTime]),""))</f>
        <v/>
      </c>
      <c r="U175" t="str">
        <f>IF(B175="","",IFERROR(_xlfn.XLOOKUP(B175,TableLibrarySigns[Block],TableLibrarySigns[UnitCost]),""))</f>
        <v/>
      </c>
      <c r="V175" t="str">
        <f t="shared" si="14"/>
        <v/>
      </c>
    </row>
    <row r="176" spans="1:22" ht="16.8" customHeight="1">
      <c r="A176" t="str">
        <f t="shared" si="12"/>
        <v/>
      </c>
      <c r="D176" s="2"/>
      <c r="E176" s="6" t="str">
        <f>IF(SignsTable[[#This Row],[PKValue]]="","",IF(D176="","",INT(D176/1000)&amp;"+"&amp;TEXT(MOD(D176,1000),"000.00")))</f>
        <v/>
      </c>
      <c r="J176" t="str">
        <f>IF(B176="","",IFERROR(_xlfn.XLOOKUP(B176,TableLibrarySigns[Block],TableLibrarySigns[Material]),""))</f>
        <v/>
      </c>
      <c r="K176" t="str">
        <f>IF(B176="","",IFERROR(_xlfn.XLOOKUP(B176,TableLibrarySigns[Block],TableLibrarySigns[RotationMode]),""))</f>
        <v/>
      </c>
      <c r="L176" t="str">
        <f>IF(B176="","",IFERROR(_xlfn.XLOOKUP(B176,TableLibrarySigns[Block],TableLibrarySigns[Layer]),""))</f>
        <v/>
      </c>
      <c r="M176" t="str">
        <f>IF(B176="","",IFERROR(_xlfn.XLOOKUP(B176,TableLibrarySigns[Block],TableLibrarySigns[DWGName]),""))</f>
        <v/>
      </c>
      <c r="N176" t="str">
        <f>IF(B176="","",IFERROR(_xlfn.XLOOKUP(B176,TableLibrarySigns[Block],TableLibrarySigns[SignCode]),""))</f>
        <v/>
      </c>
      <c r="O176" t="str">
        <f>IF(B176="","",IFERROR(_xlfn.XLOOKUP(B176,TableLibrarySigns[Block],TableLibrarySigns[IFCEntity]),""))</f>
        <v/>
      </c>
      <c r="P176" t="str">
        <f>IF(B176="","",IFERROR(_xlfn.XLOOKUP(B176,TableLibrarySigns[Block],TableLibrarySigns[Category]),""))</f>
        <v/>
      </c>
      <c r="Q176" t="str">
        <f>IF(B176="","",IFERROR(_xlfn.XLOOKUP(B176,TableLibrarySigns[Block],TableLibrarySigns[Normative]),""))</f>
        <v/>
      </c>
      <c r="R176" t="str">
        <f>IF(B176="","",IFERROR(_xlfn.XLOOKUP(B176,TableLibrarySigns[Block],TableLibrarySigns[Description]),""))</f>
        <v/>
      </c>
      <c r="S176" t="str">
        <f t="shared" si="13"/>
        <v/>
      </c>
      <c r="T176" t="str">
        <f>IF(B176="","",IFERROR(_xlfn.XLOOKUP(B176,TableLibrarySigns[Block],TableLibrarySigns[UnitTime]),""))</f>
        <v/>
      </c>
      <c r="U176" t="str">
        <f>IF(B176="","",IFERROR(_xlfn.XLOOKUP(B176,TableLibrarySigns[Block],TableLibrarySigns[UnitCost]),""))</f>
        <v/>
      </c>
      <c r="V176" t="str">
        <f t="shared" si="14"/>
        <v/>
      </c>
    </row>
    <row r="177" spans="1:22" ht="16.8" customHeight="1">
      <c r="A177" t="str">
        <f t="shared" si="12"/>
        <v/>
      </c>
      <c r="D177" s="2"/>
      <c r="E177" s="6" t="str">
        <f>IF(SignsTable[[#This Row],[PKValue]]="","",IF(D177="","",INT(D177/1000)&amp;"+"&amp;TEXT(MOD(D177,1000),"000.00")))</f>
        <v/>
      </c>
      <c r="J177" t="str">
        <f>IF(B177="","",IFERROR(_xlfn.XLOOKUP(B177,TableLibrarySigns[Block],TableLibrarySigns[Material]),""))</f>
        <v/>
      </c>
      <c r="K177" t="str">
        <f>IF(B177="","",IFERROR(_xlfn.XLOOKUP(B177,TableLibrarySigns[Block],TableLibrarySigns[RotationMode]),""))</f>
        <v/>
      </c>
      <c r="L177" t="str">
        <f>IF(B177="","",IFERROR(_xlfn.XLOOKUP(B177,TableLibrarySigns[Block],TableLibrarySigns[Layer]),""))</f>
        <v/>
      </c>
      <c r="M177" t="str">
        <f>IF(B177="","",IFERROR(_xlfn.XLOOKUP(B177,TableLibrarySigns[Block],TableLibrarySigns[DWGName]),""))</f>
        <v/>
      </c>
      <c r="N177" t="str">
        <f>IF(B177="","",IFERROR(_xlfn.XLOOKUP(B177,TableLibrarySigns[Block],TableLibrarySigns[SignCode]),""))</f>
        <v/>
      </c>
      <c r="O177" t="str">
        <f>IF(B177="","",IFERROR(_xlfn.XLOOKUP(B177,TableLibrarySigns[Block],TableLibrarySigns[IFCEntity]),""))</f>
        <v/>
      </c>
      <c r="P177" t="str">
        <f>IF(B177="","",IFERROR(_xlfn.XLOOKUP(B177,TableLibrarySigns[Block],TableLibrarySigns[Category]),""))</f>
        <v/>
      </c>
      <c r="Q177" t="str">
        <f>IF(B177="","",IFERROR(_xlfn.XLOOKUP(B177,TableLibrarySigns[Block],TableLibrarySigns[Normative]),""))</f>
        <v/>
      </c>
      <c r="R177" t="str">
        <f>IF(B177="","",IFERROR(_xlfn.XLOOKUP(B177,TableLibrarySigns[Block],TableLibrarySigns[Description]),""))</f>
        <v/>
      </c>
      <c r="S177" t="str">
        <f t="shared" si="13"/>
        <v/>
      </c>
      <c r="T177" t="str">
        <f>IF(B177="","",IFERROR(_xlfn.XLOOKUP(B177,TableLibrarySigns[Block],TableLibrarySigns[UnitTime]),""))</f>
        <v/>
      </c>
      <c r="U177" t="str">
        <f>IF(B177="","",IFERROR(_xlfn.XLOOKUP(B177,TableLibrarySigns[Block],TableLibrarySigns[UnitCost]),""))</f>
        <v/>
      </c>
      <c r="V177" t="str">
        <f t="shared" si="14"/>
        <v/>
      </c>
    </row>
    <row r="178" spans="1:22" ht="16.8" customHeight="1">
      <c r="A178" t="str">
        <f t="shared" si="12"/>
        <v/>
      </c>
      <c r="D178" s="2"/>
      <c r="E178" s="6" t="str">
        <f>IF(SignsTable[[#This Row],[PKValue]]="","",IF(D178="","",INT(D178/1000)&amp;"+"&amp;TEXT(MOD(D178,1000),"000.00")))</f>
        <v/>
      </c>
      <c r="J178" t="str">
        <f>IF(B178="","",IFERROR(_xlfn.XLOOKUP(B178,TableLibrarySigns[Block],TableLibrarySigns[Material]),""))</f>
        <v/>
      </c>
      <c r="K178" t="str">
        <f>IF(B178="","",IFERROR(_xlfn.XLOOKUP(B178,TableLibrarySigns[Block],TableLibrarySigns[RotationMode]),""))</f>
        <v/>
      </c>
      <c r="L178" t="str">
        <f>IF(B178="","",IFERROR(_xlfn.XLOOKUP(B178,TableLibrarySigns[Block],TableLibrarySigns[Layer]),""))</f>
        <v/>
      </c>
      <c r="M178" t="str">
        <f>IF(B178="","",IFERROR(_xlfn.XLOOKUP(B178,TableLibrarySigns[Block],TableLibrarySigns[DWGName]),""))</f>
        <v/>
      </c>
      <c r="N178" t="str">
        <f>IF(B178="","",IFERROR(_xlfn.XLOOKUP(B178,TableLibrarySigns[Block],TableLibrarySigns[SignCode]),""))</f>
        <v/>
      </c>
      <c r="O178" t="str">
        <f>IF(B178="","",IFERROR(_xlfn.XLOOKUP(B178,TableLibrarySigns[Block],TableLibrarySigns[IFCEntity]),""))</f>
        <v/>
      </c>
      <c r="P178" t="str">
        <f>IF(B178="","",IFERROR(_xlfn.XLOOKUP(B178,TableLibrarySigns[Block],TableLibrarySigns[Category]),""))</f>
        <v/>
      </c>
      <c r="Q178" t="str">
        <f>IF(B178="","",IFERROR(_xlfn.XLOOKUP(B178,TableLibrarySigns[Block],TableLibrarySigns[Normative]),""))</f>
        <v/>
      </c>
      <c r="R178" t="str">
        <f>IF(B178="","",IFERROR(_xlfn.XLOOKUP(B178,TableLibrarySigns[Block],TableLibrarySigns[Description]),""))</f>
        <v/>
      </c>
      <c r="S178" t="str">
        <f t="shared" si="13"/>
        <v/>
      </c>
      <c r="T178" t="str">
        <f>IF(B178="","",IFERROR(_xlfn.XLOOKUP(B178,TableLibrarySigns[Block],TableLibrarySigns[UnitTime]),""))</f>
        <v/>
      </c>
      <c r="U178" t="str">
        <f>IF(B178="","",IFERROR(_xlfn.XLOOKUP(B178,TableLibrarySigns[Block],TableLibrarySigns[UnitCost]),""))</f>
        <v/>
      </c>
      <c r="V178" t="str">
        <f t="shared" si="14"/>
        <v/>
      </c>
    </row>
    <row r="179" spans="1:22" ht="16.8" customHeight="1">
      <c r="A179" t="str">
        <f t="shared" si="12"/>
        <v/>
      </c>
      <c r="D179" s="2"/>
      <c r="E179" s="6" t="str">
        <f>IF(SignsTable[[#This Row],[PKValue]]="","",IF(D179="","",INT(D179/1000)&amp;"+"&amp;TEXT(MOD(D179,1000),"000.00")))</f>
        <v/>
      </c>
      <c r="J179" t="str">
        <f>IF(B179="","",IFERROR(_xlfn.XLOOKUP(B179,TableLibrarySigns[Block],TableLibrarySigns[Material]),""))</f>
        <v/>
      </c>
      <c r="K179" t="str">
        <f>IF(B179="","",IFERROR(_xlfn.XLOOKUP(B179,TableLibrarySigns[Block],TableLibrarySigns[RotationMode]),""))</f>
        <v/>
      </c>
      <c r="L179" t="str">
        <f>IF(B179="","",IFERROR(_xlfn.XLOOKUP(B179,TableLibrarySigns[Block],TableLibrarySigns[Layer]),""))</f>
        <v/>
      </c>
      <c r="M179" t="str">
        <f>IF(B179="","",IFERROR(_xlfn.XLOOKUP(B179,TableLibrarySigns[Block],TableLibrarySigns[DWGName]),""))</f>
        <v/>
      </c>
      <c r="N179" t="str">
        <f>IF(B179="","",IFERROR(_xlfn.XLOOKUP(B179,TableLibrarySigns[Block],TableLibrarySigns[SignCode]),""))</f>
        <v/>
      </c>
      <c r="O179" t="str">
        <f>IF(B179="","",IFERROR(_xlfn.XLOOKUP(B179,TableLibrarySigns[Block],TableLibrarySigns[IFCEntity]),""))</f>
        <v/>
      </c>
      <c r="P179" t="str">
        <f>IF(B179="","",IFERROR(_xlfn.XLOOKUP(B179,TableLibrarySigns[Block],TableLibrarySigns[Category]),""))</f>
        <v/>
      </c>
      <c r="Q179" t="str">
        <f>IF(B179="","",IFERROR(_xlfn.XLOOKUP(B179,TableLibrarySigns[Block],TableLibrarySigns[Normative]),""))</f>
        <v/>
      </c>
      <c r="R179" t="str">
        <f>IF(B179="","",IFERROR(_xlfn.XLOOKUP(B179,TableLibrarySigns[Block],TableLibrarySigns[Description]),""))</f>
        <v/>
      </c>
      <c r="S179" t="str">
        <f t="shared" si="13"/>
        <v/>
      </c>
      <c r="T179" t="str">
        <f>IF(B179="","",IFERROR(_xlfn.XLOOKUP(B179,TableLibrarySigns[Block],TableLibrarySigns[UnitTime]),""))</f>
        <v/>
      </c>
      <c r="U179" t="str">
        <f>IF(B179="","",IFERROR(_xlfn.XLOOKUP(B179,TableLibrarySigns[Block],TableLibrarySigns[UnitCost]),""))</f>
        <v/>
      </c>
      <c r="V179" t="str">
        <f t="shared" si="14"/>
        <v/>
      </c>
    </row>
    <row r="180" spans="1:22" ht="16.8" customHeight="1">
      <c r="A180" t="str">
        <f t="shared" si="12"/>
        <v/>
      </c>
      <c r="D180" s="2"/>
      <c r="E180" s="6" t="str">
        <f>IF(SignsTable[[#This Row],[PKValue]]="","",IF(D180="","",INT(D180/1000)&amp;"+"&amp;TEXT(MOD(D180,1000),"000.00")))</f>
        <v/>
      </c>
      <c r="J180" t="str">
        <f>IF(B180="","",IFERROR(_xlfn.XLOOKUP(B180,TableLibrarySigns[Block],TableLibrarySigns[Material]),""))</f>
        <v/>
      </c>
      <c r="K180" t="str">
        <f>IF(B180="","",IFERROR(_xlfn.XLOOKUP(B180,TableLibrarySigns[Block],TableLibrarySigns[RotationMode]),""))</f>
        <v/>
      </c>
      <c r="L180" t="str">
        <f>IF(B180="","",IFERROR(_xlfn.XLOOKUP(B180,TableLibrarySigns[Block],TableLibrarySigns[Layer]),""))</f>
        <v/>
      </c>
      <c r="M180" t="str">
        <f>IF(B180="","",IFERROR(_xlfn.XLOOKUP(B180,TableLibrarySigns[Block],TableLibrarySigns[DWGName]),""))</f>
        <v/>
      </c>
      <c r="N180" t="str">
        <f>IF(B180="","",IFERROR(_xlfn.XLOOKUP(B180,TableLibrarySigns[Block],TableLibrarySigns[SignCode]),""))</f>
        <v/>
      </c>
      <c r="O180" t="str">
        <f>IF(B180="","",IFERROR(_xlfn.XLOOKUP(B180,TableLibrarySigns[Block],TableLibrarySigns[IFCEntity]),""))</f>
        <v/>
      </c>
      <c r="P180" t="str">
        <f>IF(B180="","",IFERROR(_xlfn.XLOOKUP(B180,TableLibrarySigns[Block],TableLibrarySigns[Category]),""))</f>
        <v/>
      </c>
      <c r="Q180" t="str">
        <f>IF(B180="","",IFERROR(_xlfn.XLOOKUP(B180,TableLibrarySigns[Block],TableLibrarySigns[Normative]),""))</f>
        <v/>
      </c>
      <c r="R180" t="str">
        <f>IF(B180="","",IFERROR(_xlfn.XLOOKUP(B180,TableLibrarySigns[Block],TableLibrarySigns[Description]),""))</f>
        <v/>
      </c>
      <c r="S180" t="str">
        <f t="shared" si="13"/>
        <v/>
      </c>
      <c r="T180" t="str">
        <f>IF(B180="","",IFERROR(_xlfn.XLOOKUP(B180,TableLibrarySigns[Block],TableLibrarySigns[UnitTime]),""))</f>
        <v/>
      </c>
      <c r="U180" t="str">
        <f>IF(B180="","",IFERROR(_xlfn.XLOOKUP(B180,TableLibrarySigns[Block],TableLibrarySigns[UnitCost]),""))</f>
        <v/>
      </c>
      <c r="V180" t="str">
        <f t="shared" si="14"/>
        <v/>
      </c>
    </row>
    <row r="181" spans="1:22" ht="16.8" customHeight="1">
      <c r="A181" t="str">
        <f t="shared" si="12"/>
        <v/>
      </c>
      <c r="D181" s="2"/>
      <c r="E181" s="6" t="str">
        <f>IF(SignsTable[[#This Row],[PKValue]]="","",IF(D181="","",INT(D181/1000)&amp;"+"&amp;TEXT(MOD(D181,1000),"000.00")))</f>
        <v/>
      </c>
      <c r="J181" t="str">
        <f>IF(B181="","",IFERROR(_xlfn.XLOOKUP(B181,TableLibrarySigns[Block],TableLibrarySigns[Material]),""))</f>
        <v/>
      </c>
      <c r="K181" t="str">
        <f>IF(B181="","",IFERROR(_xlfn.XLOOKUP(B181,TableLibrarySigns[Block],TableLibrarySigns[RotationMode]),""))</f>
        <v/>
      </c>
      <c r="L181" t="str">
        <f>IF(B181="","",IFERROR(_xlfn.XLOOKUP(B181,TableLibrarySigns[Block],TableLibrarySigns[Layer]),""))</f>
        <v/>
      </c>
      <c r="M181" t="str">
        <f>IF(B181="","",IFERROR(_xlfn.XLOOKUP(B181,TableLibrarySigns[Block],TableLibrarySigns[DWGName]),""))</f>
        <v/>
      </c>
      <c r="N181" t="str">
        <f>IF(B181="","",IFERROR(_xlfn.XLOOKUP(B181,TableLibrarySigns[Block],TableLibrarySigns[SignCode]),""))</f>
        <v/>
      </c>
      <c r="O181" t="str">
        <f>IF(B181="","",IFERROR(_xlfn.XLOOKUP(B181,TableLibrarySigns[Block],TableLibrarySigns[IFCEntity]),""))</f>
        <v/>
      </c>
      <c r="P181" t="str">
        <f>IF(B181="","",IFERROR(_xlfn.XLOOKUP(B181,TableLibrarySigns[Block],TableLibrarySigns[Category]),""))</f>
        <v/>
      </c>
      <c r="Q181" t="str">
        <f>IF(B181="","",IFERROR(_xlfn.XLOOKUP(B181,TableLibrarySigns[Block],TableLibrarySigns[Normative]),""))</f>
        <v/>
      </c>
      <c r="R181" t="str">
        <f>IF(B181="","",IFERROR(_xlfn.XLOOKUP(B181,TableLibrarySigns[Block],TableLibrarySigns[Description]),""))</f>
        <v/>
      </c>
      <c r="S181" t="str">
        <f t="shared" si="13"/>
        <v/>
      </c>
      <c r="T181" t="str">
        <f>IF(B181="","",IFERROR(_xlfn.XLOOKUP(B181,TableLibrarySigns[Block],TableLibrarySigns[UnitTime]),""))</f>
        <v/>
      </c>
      <c r="U181" t="str">
        <f>IF(B181="","",IFERROR(_xlfn.XLOOKUP(B181,TableLibrarySigns[Block],TableLibrarySigns[UnitCost]),""))</f>
        <v/>
      </c>
      <c r="V181" t="str">
        <f t="shared" si="14"/>
        <v/>
      </c>
    </row>
    <row r="182" spans="1:22" ht="16.8" customHeight="1">
      <c r="A182" t="str">
        <f t="shared" si="12"/>
        <v/>
      </c>
      <c r="D182" s="2"/>
      <c r="E182" s="6" t="str">
        <f>IF(SignsTable[[#This Row],[PKValue]]="","",IF(D182="","",INT(D182/1000)&amp;"+"&amp;TEXT(MOD(D182,1000),"000.00")))</f>
        <v/>
      </c>
      <c r="J182" t="str">
        <f>IF(B182="","",IFERROR(_xlfn.XLOOKUP(B182,TableLibrarySigns[Block],TableLibrarySigns[Material]),""))</f>
        <v/>
      </c>
      <c r="K182" t="str">
        <f>IF(B182="","",IFERROR(_xlfn.XLOOKUP(B182,TableLibrarySigns[Block],TableLibrarySigns[RotationMode]),""))</f>
        <v/>
      </c>
      <c r="L182" t="str">
        <f>IF(B182="","",IFERROR(_xlfn.XLOOKUP(B182,TableLibrarySigns[Block],TableLibrarySigns[Layer]),""))</f>
        <v/>
      </c>
      <c r="M182" t="str">
        <f>IF(B182="","",IFERROR(_xlfn.XLOOKUP(B182,TableLibrarySigns[Block],TableLibrarySigns[DWGName]),""))</f>
        <v/>
      </c>
      <c r="N182" t="str">
        <f>IF(B182="","",IFERROR(_xlfn.XLOOKUP(B182,TableLibrarySigns[Block],TableLibrarySigns[SignCode]),""))</f>
        <v/>
      </c>
      <c r="O182" t="str">
        <f>IF(B182="","",IFERROR(_xlfn.XLOOKUP(B182,TableLibrarySigns[Block],TableLibrarySigns[IFCEntity]),""))</f>
        <v/>
      </c>
      <c r="P182" t="str">
        <f>IF(B182="","",IFERROR(_xlfn.XLOOKUP(B182,TableLibrarySigns[Block],TableLibrarySigns[Category]),""))</f>
        <v/>
      </c>
      <c r="Q182" t="str">
        <f>IF(B182="","",IFERROR(_xlfn.XLOOKUP(B182,TableLibrarySigns[Block],TableLibrarySigns[Normative]),""))</f>
        <v/>
      </c>
      <c r="R182" t="str">
        <f>IF(B182="","",IFERROR(_xlfn.XLOOKUP(B182,TableLibrarySigns[Block],TableLibrarySigns[Description]),""))</f>
        <v/>
      </c>
      <c r="S182" t="str">
        <f t="shared" si="13"/>
        <v/>
      </c>
      <c r="T182" t="str">
        <f>IF(B182="","",IFERROR(_xlfn.XLOOKUP(B182,TableLibrarySigns[Block],TableLibrarySigns[UnitTime]),""))</f>
        <v/>
      </c>
      <c r="U182" t="str">
        <f>IF(B182="","",IFERROR(_xlfn.XLOOKUP(B182,TableLibrarySigns[Block],TableLibrarySigns[UnitCost]),""))</f>
        <v/>
      </c>
      <c r="V182" t="str">
        <f t="shared" si="14"/>
        <v/>
      </c>
    </row>
    <row r="183" spans="1:22" ht="16.8" customHeight="1">
      <c r="A183" t="str">
        <f t="shared" si="12"/>
        <v/>
      </c>
      <c r="D183" s="2"/>
      <c r="E183" s="6" t="str">
        <f>IF(SignsTable[[#This Row],[PKValue]]="","",IF(D183="","",INT(D183/1000)&amp;"+"&amp;TEXT(MOD(D183,1000),"000.00")))</f>
        <v/>
      </c>
      <c r="J183" t="str">
        <f>IF(B183="","",IFERROR(_xlfn.XLOOKUP(B183,TableLibrarySigns[Block],TableLibrarySigns[Material]),""))</f>
        <v/>
      </c>
      <c r="K183" t="str">
        <f>IF(B183="","",IFERROR(_xlfn.XLOOKUP(B183,TableLibrarySigns[Block],TableLibrarySigns[RotationMode]),""))</f>
        <v/>
      </c>
      <c r="L183" t="str">
        <f>IF(B183="","",IFERROR(_xlfn.XLOOKUP(B183,TableLibrarySigns[Block],TableLibrarySigns[Layer]),""))</f>
        <v/>
      </c>
      <c r="M183" t="str">
        <f>IF(B183="","",IFERROR(_xlfn.XLOOKUP(B183,TableLibrarySigns[Block],TableLibrarySigns[DWGName]),""))</f>
        <v/>
      </c>
      <c r="N183" t="str">
        <f>IF(B183="","",IFERROR(_xlfn.XLOOKUP(B183,TableLibrarySigns[Block],TableLibrarySigns[SignCode]),""))</f>
        <v/>
      </c>
      <c r="O183" t="str">
        <f>IF(B183="","",IFERROR(_xlfn.XLOOKUP(B183,TableLibrarySigns[Block],TableLibrarySigns[IFCEntity]),""))</f>
        <v/>
      </c>
      <c r="P183" t="str">
        <f>IF(B183="","",IFERROR(_xlfn.XLOOKUP(B183,TableLibrarySigns[Block],TableLibrarySigns[Category]),""))</f>
        <v/>
      </c>
      <c r="Q183" t="str">
        <f>IF(B183="","",IFERROR(_xlfn.XLOOKUP(B183,TableLibrarySigns[Block],TableLibrarySigns[Normative]),""))</f>
        <v/>
      </c>
      <c r="R183" t="str">
        <f>IF(B183="","",IFERROR(_xlfn.XLOOKUP(B183,TableLibrarySigns[Block],TableLibrarySigns[Description]),""))</f>
        <v/>
      </c>
      <c r="S183" t="str">
        <f t="shared" si="13"/>
        <v/>
      </c>
      <c r="T183" t="str">
        <f>IF(B183="","",IFERROR(_xlfn.XLOOKUP(B183,TableLibrarySigns[Block],TableLibrarySigns[UnitTime]),""))</f>
        <v/>
      </c>
      <c r="U183" t="str">
        <f>IF(B183="","",IFERROR(_xlfn.XLOOKUP(B183,TableLibrarySigns[Block],TableLibrarySigns[UnitCost]),""))</f>
        <v/>
      </c>
      <c r="V183" t="str">
        <f t="shared" si="14"/>
        <v/>
      </c>
    </row>
    <row r="184" spans="1:22" ht="16.8" customHeight="1">
      <c r="A184" t="str">
        <f t="shared" si="12"/>
        <v/>
      </c>
      <c r="D184" s="2"/>
      <c r="E184" s="6" t="str">
        <f>IF(SignsTable[[#This Row],[PKValue]]="","",IF(D184="","",INT(D184/1000)&amp;"+"&amp;TEXT(MOD(D184,1000),"000.00")))</f>
        <v/>
      </c>
      <c r="J184" t="str">
        <f>IF(B184="","",IFERROR(_xlfn.XLOOKUP(B184,TableLibrarySigns[Block],TableLibrarySigns[Material]),""))</f>
        <v/>
      </c>
      <c r="K184" t="str">
        <f>IF(B184="","",IFERROR(_xlfn.XLOOKUP(B184,TableLibrarySigns[Block],TableLibrarySigns[RotationMode]),""))</f>
        <v/>
      </c>
      <c r="L184" t="str">
        <f>IF(B184="","",IFERROR(_xlfn.XLOOKUP(B184,TableLibrarySigns[Block],TableLibrarySigns[Layer]),""))</f>
        <v/>
      </c>
      <c r="M184" t="str">
        <f>IF(B184="","",IFERROR(_xlfn.XLOOKUP(B184,TableLibrarySigns[Block],TableLibrarySigns[DWGName]),""))</f>
        <v/>
      </c>
      <c r="N184" t="str">
        <f>IF(B184="","",IFERROR(_xlfn.XLOOKUP(B184,TableLibrarySigns[Block],TableLibrarySigns[SignCode]),""))</f>
        <v/>
      </c>
      <c r="O184" t="str">
        <f>IF(B184="","",IFERROR(_xlfn.XLOOKUP(B184,TableLibrarySigns[Block],TableLibrarySigns[IFCEntity]),""))</f>
        <v/>
      </c>
      <c r="P184" t="str">
        <f>IF(B184="","",IFERROR(_xlfn.XLOOKUP(B184,TableLibrarySigns[Block],TableLibrarySigns[Category]),""))</f>
        <v/>
      </c>
      <c r="Q184" t="str">
        <f>IF(B184="","",IFERROR(_xlfn.XLOOKUP(B184,TableLibrarySigns[Block],TableLibrarySigns[Normative]),""))</f>
        <v/>
      </c>
      <c r="R184" t="str">
        <f>IF(B184="","",IFERROR(_xlfn.XLOOKUP(B184,TableLibrarySigns[Block],TableLibrarySigns[Description]),""))</f>
        <v/>
      </c>
      <c r="S184" t="str">
        <f t="shared" si="13"/>
        <v/>
      </c>
      <c r="T184" t="str">
        <f>IF(B184="","",IFERROR(_xlfn.XLOOKUP(B184,TableLibrarySigns[Block],TableLibrarySigns[UnitTime]),""))</f>
        <v/>
      </c>
      <c r="U184" t="str">
        <f>IF(B184="","",IFERROR(_xlfn.XLOOKUP(B184,TableLibrarySigns[Block],TableLibrarySigns[UnitCost]),""))</f>
        <v/>
      </c>
      <c r="V184" t="str">
        <f t="shared" si="14"/>
        <v/>
      </c>
    </row>
    <row r="185" spans="1:22" ht="16.8" customHeight="1">
      <c r="A185" t="str">
        <f t="shared" si="12"/>
        <v/>
      </c>
      <c r="D185" s="2"/>
      <c r="E185" s="6" t="str">
        <f>IF(SignsTable[[#This Row],[PKValue]]="","",IF(D185="","",INT(D185/1000)&amp;"+"&amp;TEXT(MOD(D185,1000),"000.00")))</f>
        <v/>
      </c>
      <c r="J185" t="str">
        <f>IF(B185="","",IFERROR(_xlfn.XLOOKUP(B185,TableLibrarySigns[Block],TableLibrarySigns[Material]),""))</f>
        <v/>
      </c>
      <c r="K185" t="str">
        <f>IF(B185="","",IFERROR(_xlfn.XLOOKUP(B185,TableLibrarySigns[Block],TableLibrarySigns[RotationMode]),""))</f>
        <v/>
      </c>
      <c r="L185" t="str">
        <f>IF(B185="","",IFERROR(_xlfn.XLOOKUP(B185,TableLibrarySigns[Block],TableLibrarySigns[Layer]),""))</f>
        <v/>
      </c>
      <c r="M185" t="str">
        <f>IF(B185="","",IFERROR(_xlfn.XLOOKUP(B185,TableLibrarySigns[Block],TableLibrarySigns[DWGName]),""))</f>
        <v/>
      </c>
      <c r="N185" t="str">
        <f>IF(B185="","",IFERROR(_xlfn.XLOOKUP(B185,TableLibrarySigns[Block],TableLibrarySigns[SignCode]),""))</f>
        <v/>
      </c>
      <c r="O185" t="str">
        <f>IF(B185="","",IFERROR(_xlfn.XLOOKUP(B185,TableLibrarySigns[Block],TableLibrarySigns[IFCEntity]),""))</f>
        <v/>
      </c>
      <c r="P185" t="str">
        <f>IF(B185="","",IFERROR(_xlfn.XLOOKUP(B185,TableLibrarySigns[Block],TableLibrarySigns[Category]),""))</f>
        <v/>
      </c>
      <c r="Q185" t="str">
        <f>IF(B185="","",IFERROR(_xlfn.XLOOKUP(B185,TableLibrarySigns[Block],TableLibrarySigns[Normative]),""))</f>
        <v/>
      </c>
      <c r="R185" t="str">
        <f>IF(B185="","",IFERROR(_xlfn.XLOOKUP(B185,TableLibrarySigns[Block],TableLibrarySigns[Description]),""))</f>
        <v/>
      </c>
      <c r="S185" t="str">
        <f t="shared" si="13"/>
        <v/>
      </c>
      <c r="T185" t="str">
        <f>IF(B185="","",IFERROR(_xlfn.XLOOKUP(B185,TableLibrarySigns[Block],TableLibrarySigns[UnitTime]),""))</f>
        <v/>
      </c>
      <c r="U185" t="str">
        <f>IF(B185="","",IFERROR(_xlfn.XLOOKUP(B185,TableLibrarySigns[Block],TableLibrarySigns[UnitCost]),""))</f>
        <v/>
      </c>
      <c r="V185" t="str">
        <f t="shared" si="14"/>
        <v/>
      </c>
    </row>
    <row r="186" spans="1:22" ht="16.8" customHeight="1">
      <c r="A186" t="str">
        <f t="shared" si="12"/>
        <v/>
      </c>
      <c r="D186" s="2"/>
      <c r="E186" s="6" t="str">
        <f>IF(SignsTable[[#This Row],[PKValue]]="","",IF(D186="","",INT(D186/1000)&amp;"+"&amp;TEXT(MOD(D186,1000),"000.00")))</f>
        <v/>
      </c>
      <c r="J186" t="str">
        <f>IF(B186="","",IFERROR(_xlfn.XLOOKUP(B186,TableLibrarySigns[Block],TableLibrarySigns[Material]),""))</f>
        <v/>
      </c>
      <c r="K186" t="str">
        <f>IF(B186="","",IFERROR(_xlfn.XLOOKUP(B186,TableLibrarySigns[Block],TableLibrarySigns[RotationMode]),""))</f>
        <v/>
      </c>
      <c r="L186" t="str">
        <f>IF(B186="","",IFERROR(_xlfn.XLOOKUP(B186,TableLibrarySigns[Block],TableLibrarySigns[Layer]),""))</f>
        <v/>
      </c>
      <c r="M186" t="str">
        <f>IF(B186="","",IFERROR(_xlfn.XLOOKUP(B186,TableLibrarySigns[Block],TableLibrarySigns[DWGName]),""))</f>
        <v/>
      </c>
      <c r="N186" t="str">
        <f>IF(B186="","",IFERROR(_xlfn.XLOOKUP(B186,TableLibrarySigns[Block],TableLibrarySigns[SignCode]),""))</f>
        <v/>
      </c>
      <c r="O186" t="str">
        <f>IF(B186="","",IFERROR(_xlfn.XLOOKUP(B186,TableLibrarySigns[Block],TableLibrarySigns[IFCEntity]),""))</f>
        <v/>
      </c>
      <c r="P186" t="str">
        <f>IF(B186="","",IFERROR(_xlfn.XLOOKUP(B186,TableLibrarySigns[Block],TableLibrarySigns[Category]),""))</f>
        <v/>
      </c>
      <c r="Q186" t="str">
        <f>IF(B186="","",IFERROR(_xlfn.XLOOKUP(B186,TableLibrarySigns[Block],TableLibrarySigns[Normative]),""))</f>
        <v/>
      </c>
      <c r="R186" t="str">
        <f>IF(B186="","",IFERROR(_xlfn.XLOOKUP(B186,TableLibrarySigns[Block],TableLibrarySigns[Description]),""))</f>
        <v/>
      </c>
      <c r="S186" t="str">
        <f t="shared" si="13"/>
        <v/>
      </c>
      <c r="T186" t="str">
        <f>IF(B186="","",IFERROR(_xlfn.XLOOKUP(B186,TableLibrarySigns[Block],TableLibrarySigns[UnitTime]),""))</f>
        <v/>
      </c>
      <c r="U186" t="str">
        <f>IF(B186="","",IFERROR(_xlfn.XLOOKUP(B186,TableLibrarySigns[Block],TableLibrarySigns[UnitCost]),""))</f>
        <v/>
      </c>
      <c r="V186" t="str">
        <f t="shared" si="14"/>
        <v/>
      </c>
    </row>
    <row r="187" spans="1:22" ht="16.8" customHeight="1">
      <c r="A187" t="str">
        <f t="shared" si="12"/>
        <v/>
      </c>
      <c r="D187" s="2"/>
      <c r="E187" s="6" t="str">
        <f>IF(SignsTable[[#This Row],[PKValue]]="","",IF(D187="","",INT(D187/1000)&amp;"+"&amp;TEXT(MOD(D187,1000),"000.00")))</f>
        <v/>
      </c>
      <c r="J187" t="str">
        <f>IF(B187="","",IFERROR(_xlfn.XLOOKUP(B187,TableLibrarySigns[Block],TableLibrarySigns[Material]),""))</f>
        <v/>
      </c>
      <c r="K187" t="str">
        <f>IF(B187="","",IFERROR(_xlfn.XLOOKUP(B187,TableLibrarySigns[Block],TableLibrarySigns[RotationMode]),""))</f>
        <v/>
      </c>
      <c r="L187" t="str">
        <f>IF(B187="","",IFERROR(_xlfn.XLOOKUP(B187,TableLibrarySigns[Block],TableLibrarySigns[Layer]),""))</f>
        <v/>
      </c>
      <c r="M187" t="str">
        <f>IF(B187="","",IFERROR(_xlfn.XLOOKUP(B187,TableLibrarySigns[Block],TableLibrarySigns[DWGName]),""))</f>
        <v/>
      </c>
      <c r="N187" t="str">
        <f>IF(B187="","",IFERROR(_xlfn.XLOOKUP(B187,TableLibrarySigns[Block],TableLibrarySigns[SignCode]),""))</f>
        <v/>
      </c>
      <c r="O187" t="str">
        <f>IF(B187="","",IFERROR(_xlfn.XLOOKUP(B187,TableLibrarySigns[Block],TableLibrarySigns[IFCEntity]),""))</f>
        <v/>
      </c>
      <c r="P187" t="str">
        <f>IF(B187="","",IFERROR(_xlfn.XLOOKUP(B187,TableLibrarySigns[Block],TableLibrarySigns[Category]),""))</f>
        <v/>
      </c>
      <c r="Q187" t="str">
        <f>IF(B187="","",IFERROR(_xlfn.XLOOKUP(B187,TableLibrarySigns[Block],TableLibrarySigns[Normative]),""))</f>
        <v/>
      </c>
      <c r="R187" t="str">
        <f>IF(B187="","",IFERROR(_xlfn.XLOOKUP(B187,TableLibrarySigns[Block],TableLibrarySigns[Description]),""))</f>
        <v/>
      </c>
      <c r="S187" t="str">
        <f t="shared" si="13"/>
        <v/>
      </c>
      <c r="T187" t="str">
        <f>IF(B187="","",IFERROR(_xlfn.XLOOKUP(B187,TableLibrarySigns[Block],TableLibrarySigns[UnitTime]),""))</f>
        <v/>
      </c>
      <c r="U187" t="str">
        <f>IF(B187="","",IFERROR(_xlfn.XLOOKUP(B187,TableLibrarySigns[Block],TableLibrarySigns[UnitCost]),""))</f>
        <v/>
      </c>
      <c r="V187" t="str">
        <f t="shared" si="14"/>
        <v/>
      </c>
    </row>
    <row r="188" spans="1:22" ht="16.8" customHeight="1">
      <c r="A188" t="str">
        <f t="shared" si="12"/>
        <v/>
      </c>
      <c r="D188" s="2"/>
      <c r="E188" s="6" t="str">
        <f>IF(SignsTable[[#This Row],[PKValue]]="","",IF(D188="","",INT(D188/1000)&amp;"+"&amp;TEXT(MOD(D188,1000),"000.00")))</f>
        <v/>
      </c>
      <c r="J188" t="str">
        <f>IF(B188="","",IFERROR(_xlfn.XLOOKUP(B188,TableLibrarySigns[Block],TableLibrarySigns[Material]),""))</f>
        <v/>
      </c>
      <c r="K188" t="str">
        <f>IF(B188="","",IFERROR(_xlfn.XLOOKUP(B188,TableLibrarySigns[Block],TableLibrarySigns[RotationMode]),""))</f>
        <v/>
      </c>
      <c r="L188" t="str">
        <f>IF(B188="","",IFERROR(_xlfn.XLOOKUP(B188,TableLibrarySigns[Block],TableLibrarySigns[Layer]),""))</f>
        <v/>
      </c>
      <c r="M188" t="str">
        <f>IF(B188="","",IFERROR(_xlfn.XLOOKUP(B188,TableLibrarySigns[Block],TableLibrarySigns[DWGName]),""))</f>
        <v/>
      </c>
      <c r="N188" t="str">
        <f>IF(B188="","",IFERROR(_xlfn.XLOOKUP(B188,TableLibrarySigns[Block],TableLibrarySigns[SignCode]),""))</f>
        <v/>
      </c>
      <c r="O188" t="str">
        <f>IF(B188="","",IFERROR(_xlfn.XLOOKUP(B188,TableLibrarySigns[Block],TableLibrarySigns[IFCEntity]),""))</f>
        <v/>
      </c>
      <c r="P188" t="str">
        <f>IF(B188="","",IFERROR(_xlfn.XLOOKUP(B188,TableLibrarySigns[Block],TableLibrarySigns[Category]),""))</f>
        <v/>
      </c>
      <c r="Q188" t="str">
        <f>IF(B188="","",IFERROR(_xlfn.XLOOKUP(B188,TableLibrarySigns[Block],TableLibrarySigns[Normative]),""))</f>
        <v/>
      </c>
      <c r="R188" t="str">
        <f>IF(B188="","",IFERROR(_xlfn.XLOOKUP(B188,TableLibrarySigns[Block],TableLibrarySigns[Description]),""))</f>
        <v/>
      </c>
      <c r="S188" t="str">
        <f t="shared" si="13"/>
        <v/>
      </c>
      <c r="T188" t="str">
        <f>IF(B188="","",IFERROR(_xlfn.XLOOKUP(B188,TableLibrarySigns[Block],TableLibrarySigns[UnitTime]),""))</f>
        <v/>
      </c>
      <c r="U188" t="str">
        <f>IF(B188="","",IFERROR(_xlfn.XLOOKUP(B188,TableLibrarySigns[Block],TableLibrarySigns[UnitCost]),""))</f>
        <v/>
      </c>
      <c r="V188" t="str">
        <f t="shared" si="14"/>
        <v/>
      </c>
    </row>
    <row r="189" spans="1:22" ht="16.8" customHeight="1">
      <c r="A189" t="str">
        <f t="shared" si="12"/>
        <v/>
      </c>
      <c r="D189" s="2"/>
      <c r="E189" s="6" t="str">
        <f>IF(SignsTable[[#This Row],[PKValue]]="","",IF(D189="","",INT(D189/1000)&amp;"+"&amp;TEXT(MOD(D189,1000),"000.00")))</f>
        <v/>
      </c>
      <c r="J189" t="str">
        <f>IF(B189="","",IFERROR(_xlfn.XLOOKUP(B189,TableLibrarySigns[Block],TableLibrarySigns[Material]),""))</f>
        <v/>
      </c>
      <c r="K189" t="str">
        <f>IF(B189="","",IFERROR(_xlfn.XLOOKUP(B189,TableLibrarySigns[Block],TableLibrarySigns[RotationMode]),""))</f>
        <v/>
      </c>
      <c r="L189" t="str">
        <f>IF(B189="","",IFERROR(_xlfn.XLOOKUP(B189,TableLibrarySigns[Block],TableLibrarySigns[Layer]),""))</f>
        <v/>
      </c>
      <c r="M189" t="str">
        <f>IF(B189="","",IFERROR(_xlfn.XLOOKUP(B189,TableLibrarySigns[Block],TableLibrarySigns[DWGName]),""))</f>
        <v/>
      </c>
      <c r="N189" t="str">
        <f>IF(B189="","",IFERROR(_xlfn.XLOOKUP(B189,TableLibrarySigns[Block],TableLibrarySigns[SignCode]),""))</f>
        <v/>
      </c>
      <c r="O189" t="str">
        <f>IF(B189="","",IFERROR(_xlfn.XLOOKUP(B189,TableLibrarySigns[Block],TableLibrarySigns[IFCEntity]),""))</f>
        <v/>
      </c>
      <c r="P189" t="str">
        <f>IF(B189="","",IFERROR(_xlfn.XLOOKUP(B189,TableLibrarySigns[Block],TableLibrarySigns[Category]),""))</f>
        <v/>
      </c>
      <c r="Q189" t="str">
        <f>IF(B189="","",IFERROR(_xlfn.XLOOKUP(B189,TableLibrarySigns[Block],TableLibrarySigns[Normative]),""))</f>
        <v/>
      </c>
      <c r="R189" t="str">
        <f>IF(B189="","",IFERROR(_xlfn.XLOOKUP(B189,TableLibrarySigns[Block],TableLibrarySigns[Description]),""))</f>
        <v/>
      </c>
      <c r="S189" t="str">
        <f t="shared" si="13"/>
        <v/>
      </c>
      <c r="T189" t="str">
        <f>IF(B189="","",IFERROR(_xlfn.XLOOKUP(B189,TableLibrarySigns[Block],TableLibrarySigns[UnitTime]),""))</f>
        <v/>
      </c>
      <c r="U189" t="str">
        <f>IF(B189="","",IFERROR(_xlfn.XLOOKUP(B189,TableLibrarySigns[Block],TableLibrarySigns[UnitCost]),""))</f>
        <v/>
      </c>
      <c r="V189" t="str">
        <f t="shared" si="14"/>
        <v/>
      </c>
    </row>
    <row r="190" spans="1:22" ht="16.8" customHeight="1">
      <c r="A190" t="str">
        <f t="shared" si="12"/>
        <v/>
      </c>
      <c r="D190" s="2"/>
      <c r="E190" s="6" t="str">
        <f>IF(SignsTable[[#This Row],[PKValue]]="","",IF(D190="","",INT(D190/1000)&amp;"+"&amp;TEXT(MOD(D190,1000),"000.00")))</f>
        <v/>
      </c>
      <c r="J190" t="str">
        <f>IF(B190="","",IFERROR(_xlfn.XLOOKUP(B190,TableLibrarySigns[Block],TableLibrarySigns[Material]),""))</f>
        <v/>
      </c>
      <c r="K190" t="str">
        <f>IF(B190="","",IFERROR(_xlfn.XLOOKUP(B190,TableLibrarySigns[Block],TableLibrarySigns[RotationMode]),""))</f>
        <v/>
      </c>
      <c r="L190" t="str">
        <f>IF(B190="","",IFERROR(_xlfn.XLOOKUP(B190,TableLibrarySigns[Block],TableLibrarySigns[Layer]),""))</f>
        <v/>
      </c>
      <c r="M190" t="str">
        <f>IF(B190="","",IFERROR(_xlfn.XLOOKUP(B190,TableLibrarySigns[Block],TableLibrarySigns[DWGName]),""))</f>
        <v/>
      </c>
      <c r="N190" t="str">
        <f>IF(B190="","",IFERROR(_xlfn.XLOOKUP(B190,TableLibrarySigns[Block],TableLibrarySigns[SignCode]),""))</f>
        <v/>
      </c>
      <c r="O190" t="str">
        <f>IF(B190="","",IFERROR(_xlfn.XLOOKUP(B190,TableLibrarySigns[Block],TableLibrarySigns[IFCEntity]),""))</f>
        <v/>
      </c>
      <c r="P190" t="str">
        <f>IF(B190="","",IFERROR(_xlfn.XLOOKUP(B190,TableLibrarySigns[Block],TableLibrarySigns[Category]),""))</f>
        <v/>
      </c>
      <c r="Q190" t="str">
        <f>IF(B190="","",IFERROR(_xlfn.XLOOKUP(B190,TableLibrarySigns[Block],TableLibrarySigns[Normative]),""))</f>
        <v/>
      </c>
      <c r="R190" t="str">
        <f>IF(B190="","",IFERROR(_xlfn.XLOOKUP(B190,TableLibrarySigns[Block],TableLibrarySigns[Description]),""))</f>
        <v/>
      </c>
      <c r="S190" t="str">
        <f t="shared" si="13"/>
        <v/>
      </c>
      <c r="T190" t="str">
        <f>IF(B190="","",IFERROR(_xlfn.XLOOKUP(B190,TableLibrarySigns[Block],TableLibrarySigns[UnitTime]),""))</f>
        <v/>
      </c>
      <c r="U190" t="str">
        <f>IF(B190="","",IFERROR(_xlfn.XLOOKUP(B190,TableLibrarySigns[Block],TableLibrarySigns[UnitCost]),""))</f>
        <v/>
      </c>
      <c r="V190" t="str">
        <f t="shared" si="14"/>
        <v/>
      </c>
    </row>
    <row r="191" spans="1:22" ht="16.8" customHeight="1">
      <c r="A191" t="str">
        <f t="shared" si="12"/>
        <v/>
      </c>
      <c r="D191" s="2"/>
      <c r="E191" s="6" t="str">
        <f>IF(SignsTable[[#This Row],[PKValue]]="","",IF(D191="","",INT(D191/1000)&amp;"+"&amp;TEXT(MOD(D191,1000),"000.00")))</f>
        <v/>
      </c>
      <c r="J191" t="str">
        <f>IF(B191="","",IFERROR(_xlfn.XLOOKUP(B191,TableLibrarySigns[Block],TableLibrarySigns[Material]),""))</f>
        <v/>
      </c>
      <c r="K191" t="str">
        <f>IF(B191="","",IFERROR(_xlfn.XLOOKUP(B191,TableLibrarySigns[Block],TableLibrarySigns[RotationMode]),""))</f>
        <v/>
      </c>
      <c r="L191" t="str">
        <f>IF(B191="","",IFERROR(_xlfn.XLOOKUP(B191,TableLibrarySigns[Block],TableLibrarySigns[Layer]),""))</f>
        <v/>
      </c>
      <c r="M191" t="str">
        <f>IF(B191="","",IFERROR(_xlfn.XLOOKUP(B191,TableLibrarySigns[Block],TableLibrarySigns[DWGName]),""))</f>
        <v/>
      </c>
      <c r="N191" t="str">
        <f>IF(B191="","",IFERROR(_xlfn.XLOOKUP(B191,TableLibrarySigns[Block],TableLibrarySigns[SignCode]),""))</f>
        <v/>
      </c>
      <c r="O191" t="str">
        <f>IF(B191="","",IFERROR(_xlfn.XLOOKUP(B191,TableLibrarySigns[Block],TableLibrarySigns[IFCEntity]),""))</f>
        <v/>
      </c>
      <c r="P191" t="str">
        <f>IF(B191="","",IFERROR(_xlfn.XLOOKUP(B191,TableLibrarySigns[Block],TableLibrarySigns[Category]),""))</f>
        <v/>
      </c>
      <c r="Q191" t="str">
        <f>IF(B191="","",IFERROR(_xlfn.XLOOKUP(B191,TableLibrarySigns[Block],TableLibrarySigns[Normative]),""))</f>
        <v/>
      </c>
      <c r="R191" t="str">
        <f>IF(B191="","",IFERROR(_xlfn.XLOOKUP(B191,TableLibrarySigns[Block],TableLibrarySigns[Description]),""))</f>
        <v/>
      </c>
      <c r="S191" t="str">
        <f t="shared" si="13"/>
        <v/>
      </c>
      <c r="T191" t="str">
        <f>IF(B191="","",IFERROR(_xlfn.XLOOKUP(B191,TableLibrarySigns[Block],TableLibrarySigns[UnitTime]),""))</f>
        <v/>
      </c>
      <c r="U191" t="str">
        <f>IF(B191="","",IFERROR(_xlfn.XLOOKUP(B191,TableLibrarySigns[Block],TableLibrarySigns[UnitCost]),""))</f>
        <v/>
      </c>
      <c r="V191" t="str">
        <f t="shared" si="14"/>
        <v/>
      </c>
    </row>
    <row r="192" spans="1:22" ht="16.8" customHeight="1">
      <c r="A192" t="str">
        <f t="shared" si="12"/>
        <v/>
      </c>
      <c r="D192" s="2"/>
      <c r="E192" s="6" t="str">
        <f>IF(SignsTable[[#This Row],[PKValue]]="","",IF(D192="","",INT(D192/1000)&amp;"+"&amp;TEXT(MOD(D192,1000),"000.00")))</f>
        <v/>
      </c>
      <c r="J192" t="str">
        <f>IF(B192="","",IFERROR(_xlfn.XLOOKUP(B192,TableLibrarySigns[Block],TableLibrarySigns[Material]),""))</f>
        <v/>
      </c>
      <c r="K192" t="str">
        <f>IF(B192="","",IFERROR(_xlfn.XLOOKUP(B192,TableLibrarySigns[Block],TableLibrarySigns[RotationMode]),""))</f>
        <v/>
      </c>
      <c r="L192" t="str">
        <f>IF(B192="","",IFERROR(_xlfn.XLOOKUP(B192,TableLibrarySigns[Block],TableLibrarySigns[Layer]),""))</f>
        <v/>
      </c>
      <c r="M192" t="str">
        <f>IF(B192="","",IFERROR(_xlfn.XLOOKUP(B192,TableLibrarySigns[Block],TableLibrarySigns[DWGName]),""))</f>
        <v/>
      </c>
      <c r="N192" t="str">
        <f>IF(B192="","",IFERROR(_xlfn.XLOOKUP(B192,TableLibrarySigns[Block],TableLibrarySigns[SignCode]),""))</f>
        <v/>
      </c>
      <c r="O192" t="str">
        <f>IF(B192="","",IFERROR(_xlfn.XLOOKUP(B192,TableLibrarySigns[Block],TableLibrarySigns[IFCEntity]),""))</f>
        <v/>
      </c>
      <c r="P192" t="str">
        <f>IF(B192="","",IFERROR(_xlfn.XLOOKUP(B192,TableLibrarySigns[Block],TableLibrarySigns[Category]),""))</f>
        <v/>
      </c>
      <c r="Q192" t="str">
        <f>IF(B192="","",IFERROR(_xlfn.XLOOKUP(B192,TableLibrarySigns[Block],TableLibrarySigns[Normative]),""))</f>
        <v/>
      </c>
      <c r="R192" t="str">
        <f>IF(B192="","",IFERROR(_xlfn.XLOOKUP(B192,TableLibrarySigns[Block],TableLibrarySigns[Description]),""))</f>
        <v/>
      </c>
      <c r="S192" t="str">
        <f t="shared" si="13"/>
        <v/>
      </c>
      <c r="T192" t="str">
        <f>IF(B192="","",IFERROR(_xlfn.XLOOKUP(B192,TableLibrarySigns[Block],TableLibrarySigns[UnitTime]),""))</f>
        <v/>
      </c>
      <c r="U192" t="str">
        <f>IF(B192="","",IFERROR(_xlfn.XLOOKUP(B192,TableLibrarySigns[Block],TableLibrarySigns[UnitCost]),""))</f>
        <v/>
      </c>
      <c r="V192" t="str">
        <f t="shared" si="14"/>
        <v/>
      </c>
    </row>
    <row r="193" spans="1:22" ht="16.8" customHeight="1">
      <c r="A193" t="str">
        <f t="shared" si="12"/>
        <v/>
      </c>
      <c r="D193" s="2"/>
      <c r="E193" s="6" t="str">
        <f>IF(SignsTable[[#This Row],[PKValue]]="","",IF(D193="","",INT(D193/1000)&amp;"+"&amp;TEXT(MOD(D193,1000),"000.00")))</f>
        <v/>
      </c>
      <c r="J193" t="str">
        <f>IF(B193="","",IFERROR(_xlfn.XLOOKUP(B193,TableLibrarySigns[Block],TableLibrarySigns[Material]),""))</f>
        <v/>
      </c>
      <c r="K193" t="str">
        <f>IF(B193="","",IFERROR(_xlfn.XLOOKUP(B193,TableLibrarySigns[Block],TableLibrarySigns[RotationMode]),""))</f>
        <v/>
      </c>
      <c r="L193" t="str">
        <f>IF(B193="","",IFERROR(_xlfn.XLOOKUP(B193,TableLibrarySigns[Block],TableLibrarySigns[Layer]),""))</f>
        <v/>
      </c>
      <c r="M193" t="str">
        <f>IF(B193="","",IFERROR(_xlfn.XLOOKUP(B193,TableLibrarySigns[Block],TableLibrarySigns[DWGName]),""))</f>
        <v/>
      </c>
      <c r="N193" t="str">
        <f>IF(B193="","",IFERROR(_xlfn.XLOOKUP(B193,TableLibrarySigns[Block],TableLibrarySigns[SignCode]),""))</f>
        <v/>
      </c>
      <c r="O193" t="str">
        <f>IF(B193="","",IFERROR(_xlfn.XLOOKUP(B193,TableLibrarySigns[Block],TableLibrarySigns[IFCEntity]),""))</f>
        <v/>
      </c>
      <c r="P193" t="str">
        <f>IF(B193="","",IFERROR(_xlfn.XLOOKUP(B193,TableLibrarySigns[Block],TableLibrarySigns[Category]),""))</f>
        <v/>
      </c>
      <c r="Q193" t="str">
        <f>IF(B193="","",IFERROR(_xlfn.XLOOKUP(B193,TableLibrarySigns[Block],TableLibrarySigns[Normative]),""))</f>
        <v/>
      </c>
      <c r="R193" t="str">
        <f>IF(B193="","",IFERROR(_xlfn.XLOOKUP(B193,TableLibrarySigns[Block],TableLibrarySigns[Description]),""))</f>
        <v/>
      </c>
      <c r="S193" t="str">
        <f t="shared" si="13"/>
        <v/>
      </c>
      <c r="T193" t="str">
        <f>IF(B193="","",IFERROR(_xlfn.XLOOKUP(B193,TableLibrarySigns[Block],TableLibrarySigns[UnitTime]),""))</f>
        <v/>
      </c>
      <c r="U193" t="str">
        <f>IF(B193="","",IFERROR(_xlfn.XLOOKUP(B193,TableLibrarySigns[Block],TableLibrarySigns[UnitCost]),""))</f>
        <v/>
      </c>
      <c r="V193" t="str">
        <f t="shared" si="14"/>
        <v/>
      </c>
    </row>
    <row r="194" spans="1:22" ht="16.8" customHeight="1">
      <c r="A194" t="str">
        <f t="shared" si="12"/>
        <v/>
      </c>
      <c r="D194" s="2"/>
      <c r="E194" s="6" t="str">
        <f>IF(SignsTable[[#This Row],[PKValue]]="","",IF(D194="","",INT(D194/1000)&amp;"+"&amp;TEXT(MOD(D194,1000),"000.00")))</f>
        <v/>
      </c>
      <c r="J194" t="str">
        <f>IF(B194="","",IFERROR(_xlfn.XLOOKUP(B194,TableLibrarySigns[Block],TableLibrarySigns[Material]),""))</f>
        <v/>
      </c>
      <c r="K194" t="str">
        <f>IF(B194="","",IFERROR(_xlfn.XLOOKUP(B194,TableLibrarySigns[Block],TableLibrarySigns[RotationMode]),""))</f>
        <v/>
      </c>
      <c r="L194" t="str">
        <f>IF(B194="","",IFERROR(_xlfn.XLOOKUP(B194,TableLibrarySigns[Block],TableLibrarySigns[Layer]),""))</f>
        <v/>
      </c>
      <c r="M194" t="str">
        <f>IF(B194="","",IFERROR(_xlfn.XLOOKUP(B194,TableLibrarySigns[Block],TableLibrarySigns[DWGName]),""))</f>
        <v/>
      </c>
      <c r="N194" t="str">
        <f>IF(B194="","",IFERROR(_xlfn.XLOOKUP(B194,TableLibrarySigns[Block],TableLibrarySigns[SignCode]),""))</f>
        <v/>
      </c>
      <c r="O194" t="str">
        <f>IF(B194="","",IFERROR(_xlfn.XLOOKUP(B194,TableLibrarySigns[Block],TableLibrarySigns[IFCEntity]),""))</f>
        <v/>
      </c>
      <c r="P194" t="str">
        <f>IF(B194="","",IFERROR(_xlfn.XLOOKUP(B194,TableLibrarySigns[Block],TableLibrarySigns[Category]),""))</f>
        <v/>
      </c>
      <c r="Q194" t="str">
        <f>IF(B194="","",IFERROR(_xlfn.XLOOKUP(B194,TableLibrarySigns[Block],TableLibrarySigns[Normative]),""))</f>
        <v/>
      </c>
      <c r="R194" t="str">
        <f>IF(B194="","",IFERROR(_xlfn.XLOOKUP(B194,TableLibrarySigns[Block],TableLibrarySigns[Description]),""))</f>
        <v/>
      </c>
      <c r="S194" t="str">
        <f t="shared" ref="S194:S200" si="15">IF(B194="","",1)</f>
        <v/>
      </c>
      <c r="T194" t="str">
        <f>IF(B194="","",IFERROR(_xlfn.XLOOKUP(B194,TableLibrarySigns[Block],TableLibrarySigns[UnitTime]),""))</f>
        <v/>
      </c>
      <c r="U194" t="str">
        <f>IF(B194="","",IFERROR(_xlfn.XLOOKUP(B194,TableLibrarySigns[Block],TableLibrarySigns[UnitCost]),""))</f>
        <v/>
      </c>
      <c r="V194" t="str">
        <f t="shared" ref="V194:V200" si="16">IF(B194="","",S194*U194)</f>
        <v/>
      </c>
    </row>
    <row r="195" spans="1:22" ht="16.8" customHeight="1">
      <c r="A195" t="str">
        <f t="shared" ref="A195:A200" si="17">IF(B195="","","S"&amp;TEXT(ROW()-1,"000"))</f>
        <v/>
      </c>
      <c r="D195" s="2"/>
      <c r="E195" s="6" t="str">
        <f>IF(SignsTable[[#This Row],[PKValue]]="","",IF(D195="","",INT(D195/1000)&amp;"+"&amp;TEXT(MOD(D195,1000),"000.00")))</f>
        <v/>
      </c>
      <c r="J195" t="str">
        <f>IF(B195="","",IFERROR(_xlfn.XLOOKUP(B195,TableLibrarySigns[Block],TableLibrarySigns[Material]),""))</f>
        <v/>
      </c>
      <c r="K195" t="str">
        <f>IF(B195="","",IFERROR(_xlfn.XLOOKUP(B195,TableLibrarySigns[Block],TableLibrarySigns[RotationMode]),""))</f>
        <v/>
      </c>
      <c r="L195" t="str">
        <f>IF(B195="","",IFERROR(_xlfn.XLOOKUP(B195,TableLibrarySigns[Block],TableLibrarySigns[Layer]),""))</f>
        <v/>
      </c>
      <c r="M195" t="str">
        <f>IF(B195="","",IFERROR(_xlfn.XLOOKUP(B195,TableLibrarySigns[Block],TableLibrarySigns[DWGName]),""))</f>
        <v/>
      </c>
      <c r="N195" t="str">
        <f>IF(B195="","",IFERROR(_xlfn.XLOOKUP(B195,TableLibrarySigns[Block],TableLibrarySigns[SignCode]),""))</f>
        <v/>
      </c>
      <c r="O195" t="str">
        <f>IF(B195="","",IFERROR(_xlfn.XLOOKUP(B195,TableLibrarySigns[Block],TableLibrarySigns[IFCEntity]),""))</f>
        <v/>
      </c>
      <c r="P195" t="str">
        <f>IF(B195="","",IFERROR(_xlfn.XLOOKUP(B195,TableLibrarySigns[Block],TableLibrarySigns[Category]),""))</f>
        <v/>
      </c>
      <c r="Q195" t="str">
        <f>IF(B195="","",IFERROR(_xlfn.XLOOKUP(B195,TableLibrarySigns[Block],TableLibrarySigns[Normative]),""))</f>
        <v/>
      </c>
      <c r="R195" t="str">
        <f>IF(B195="","",IFERROR(_xlfn.XLOOKUP(B195,TableLibrarySigns[Block],TableLibrarySigns[Description]),""))</f>
        <v/>
      </c>
      <c r="S195" t="str">
        <f t="shared" si="15"/>
        <v/>
      </c>
      <c r="T195" t="str">
        <f>IF(B195="","",IFERROR(_xlfn.XLOOKUP(B195,TableLibrarySigns[Block],TableLibrarySigns[UnitTime]),""))</f>
        <v/>
      </c>
      <c r="U195" t="str">
        <f>IF(B195="","",IFERROR(_xlfn.XLOOKUP(B195,TableLibrarySigns[Block],TableLibrarySigns[UnitCost]),""))</f>
        <v/>
      </c>
      <c r="V195" t="str">
        <f t="shared" si="16"/>
        <v/>
      </c>
    </row>
    <row r="196" spans="1:22" ht="16.8" customHeight="1">
      <c r="A196" t="str">
        <f t="shared" si="17"/>
        <v/>
      </c>
      <c r="D196" s="2"/>
      <c r="E196" s="6" t="str">
        <f>IF(SignsTable[[#This Row],[PKValue]]="","",IF(D196="","",INT(D196/1000)&amp;"+"&amp;TEXT(MOD(D196,1000),"000.00")))</f>
        <v/>
      </c>
      <c r="J196" t="str">
        <f>IF(B196="","",IFERROR(_xlfn.XLOOKUP(B196,TableLibrarySigns[Block],TableLibrarySigns[Material]),""))</f>
        <v/>
      </c>
      <c r="K196" t="str">
        <f>IF(B196="","",IFERROR(_xlfn.XLOOKUP(B196,TableLibrarySigns[Block],TableLibrarySigns[RotationMode]),""))</f>
        <v/>
      </c>
      <c r="L196" t="str">
        <f>IF(B196="","",IFERROR(_xlfn.XLOOKUP(B196,TableLibrarySigns[Block],TableLibrarySigns[Layer]),""))</f>
        <v/>
      </c>
      <c r="M196" t="str">
        <f>IF(B196="","",IFERROR(_xlfn.XLOOKUP(B196,TableLibrarySigns[Block],TableLibrarySigns[DWGName]),""))</f>
        <v/>
      </c>
      <c r="N196" t="str">
        <f>IF(B196="","",IFERROR(_xlfn.XLOOKUP(B196,TableLibrarySigns[Block],TableLibrarySigns[SignCode]),""))</f>
        <v/>
      </c>
      <c r="O196" t="str">
        <f>IF(B196="","",IFERROR(_xlfn.XLOOKUP(B196,TableLibrarySigns[Block],TableLibrarySigns[IFCEntity]),""))</f>
        <v/>
      </c>
      <c r="P196" t="str">
        <f>IF(B196="","",IFERROR(_xlfn.XLOOKUP(B196,TableLibrarySigns[Block],TableLibrarySigns[Category]),""))</f>
        <v/>
      </c>
      <c r="Q196" t="str">
        <f>IF(B196="","",IFERROR(_xlfn.XLOOKUP(B196,TableLibrarySigns[Block],TableLibrarySigns[Normative]),""))</f>
        <v/>
      </c>
      <c r="R196" t="str">
        <f>IF(B196="","",IFERROR(_xlfn.XLOOKUP(B196,TableLibrarySigns[Block],TableLibrarySigns[Description]),""))</f>
        <v/>
      </c>
      <c r="S196" t="str">
        <f t="shared" si="15"/>
        <v/>
      </c>
      <c r="T196" t="str">
        <f>IF(B196="","",IFERROR(_xlfn.XLOOKUP(B196,TableLibrarySigns[Block],TableLibrarySigns[UnitTime]),""))</f>
        <v/>
      </c>
      <c r="U196" t="str">
        <f>IF(B196="","",IFERROR(_xlfn.XLOOKUP(B196,TableLibrarySigns[Block],TableLibrarySigns[UnitCost]),""))</f>
        <v/>
      </c>
      <c r="V196" t="str">
        <f t="shared" si="16"/>
        <v/>
      </c>
    </row>
    <row r="197" spans="1:22" ht="16.8" customHeight="1">
      <c r="A197" t="str">
        <f t="shared" si="17"/>
        <v/>
      </c>
      <c r="D197" s="2"/>
      <c r="E197" s="6" t="str">
        <f>IF(SignsTable[[#This Row],[PKValue]]="","",IF(D197="","",INT(D197/1000)&amp;"+"&amp;TEXT(MOD(D197,1000),"000.00")))</f>
        <v/>
      </c>
      <c r="J197" t="str">
        <f>IF(B197="","",IFERROR(_xlfn.XLOOKUP(B197,TableLibrarySigns[Block],TableLibrarySigns[Material]),""))</f>
        <v/>
      </c>
      <c r="K197" t="str">
        <f>IF(B197="","",IFERROR(_xlfn.XLOOKUP(B197,TableLibrarySigns[Block],TableLibrarySigns[RotationMode]),""))</f>
        <v/>
      </c>
      <c r="L197" t="str">
        <f>IF(B197="","",IFERROR(_xlfn.XLOOKUP(B197,TableLibrarySigns[Block],TableLibrarySigns[Layer]),""))</f>
        <v/>
      </c>
      <c r="M197" t="str">
        <f>IF(B197="","",IFERROR(_xlfn.XLOOKUP(B197,TableLibrarySigns[Block],TableLibrarySigns[DWGName]),""))</f>
        <v/>
      </c>
      <c r="N197" t="str">
        <f>IF(B197="","",IFERROR(_xlfn.XLOOKUP(B197,TableLibrarySigns[Block],TableLibrarySigns[SignCode]),""))</f>
        <v/>
      </c>
      <c r="O197" t="str">
        <f>IF(B197="","",IFERROR(_xlfn.XLOOKUP(B197,TableLibrarySigns[Block],TableLibrarySigns[IFCEntity]),""))</f>
        <v/>
      </c>
      <c r="P197" t="str">
        <f>IF(B197="","",IFERROR(_xlfn.XLOOKUP(B197,TableLibrarySigns[Block],TableLibrarySigns[Category]),""))</f>
        <v/>
      </c>
      <c r="Q197" t="str">
        <f>IF(B197="","",IFERROR(_xlfn.XLOOKUP(B197,TableLibrarySigns[Block],TableLibrarySigns[Normative]),""))</f>
        <v/>
      </c>
      <c r="R197" t="str">
        <f>IF(B197="","",IFERROR(_xlfn.XLOOKUP(B197,TableLibrarySigns[Block],TableLibrarySigns[Description]),""))</f>
        <v/>
      </c>
      <c r="S197" t="str">
        <f t="shared" si="15"/>
        <v/>
      </c>
      <c r="T197" t="str">
        <f>IF(B197="","",IFERROR(_xlfn.XLOOKUP(B197,TableLibrarySigns[Block],TableLibrarySigns[UnitTime]),""))</f>
        <v/>
      </c>
      <c r="U197" t="str">
        <f>IF(B197="","",IFERROR(_xlfn.XLOOKUP(B197,TableLibrarySigns[Block],TableLibrarySigns[UnitCost]),""))</f>
        <v/>
      </c>
      <c r="V197" t="str">
        <f t="shared" si="16"/>
        <v/>
      </c>
    </row>
    <row r="198" spans="1:22" ht="16.8" customHeight="1">
      <c r="A198" t="str">
        <f t="shared" si="17"/>
        <v/>
      </c>
      <c r="D198" s="2"/>
      <c r="E198" s="6" t="str">
        <f>IF(SignsTable[[#This Row],[PKValue]]="","",IF(D198="","",INT(D198/1000)&amp;"+"&amp;TEXT(MOD(D198,1000),"000.00")))</f>
        <v/>
      </c>
      <c r="J198" t="str">
        <f>IF(B198="","",IFERROR(_xlfn.XLOOKUP(B198,TableLibrarySigns[Block],TableLibrarySigns[Material]),""))</f>
        <v/>
      </c>
      <c r="K198" t="str">
        <f>IF(B198="","",IFERROR(_xlfn.XLOOKUP(B198,TableLibrarySigns[Block],TableLibrarySigns[RotationMode]),""))</f>
        <v/>
      </c>
      <c r="L198" t="str">
        <f>IF(B198="","",IFERROR(_xlfn.XLOOKUP(B198,TableLibrarySigns[Block],TableLibrarySigns[Layer]),""))</f>
        <v/>
      </c>
      <c r="M198" t="str">
        <f>IF(B198="","",IFERROR(_xlfn.XLOOKUP(B198,TableLibrarySigns[Block],TableLibrarySigns[DWGName]),""))</f>
        <v/>
      </c>
      <c r="N198" t="str">
        <f>IF(B198="","",IFERROR(_xlfn.XLOOKUP(B198,TableLibrarySigns[Block],TableLibrarySigns[SignCode]),""))</f>
        <v/>
      </c>
      <c r="O198" t="str">
        <f>IF(B198="","",IFERROR(_xlfn.XLOOKUP(B198,TableLibrarySigns[Block],TableLibrarySigns[IFCEntity]),""))</f>
        <v/>
      </c>
      <c r="P198" t="str">
        <f>IF(B198="","",IFERROR(_xlfn.XLOOKUP(B198,TableLibrarySigns[Block],TableLibrarySigns[Category]),""))</f>
        <v/>
      </c>
      <c r="Q198" t="str">
        <f>IF(B198="","",IFERROR(_xlfn.XLOOKUP(B198,TableLibrarySigns[Block],TableLibrarySigns[Normative]),""))</f>
        <v/>
      </c>
      <c r="R198" t="str">
        <f>IF(B198="","",IFERROR(_xlfn.XLOOKUP(B198,TableLibrarySigns[Block],TableLibrarySigns[Description]),""))</f>
        <v/>
      </c>
      <c r="S198" t="str">
        <f t="shared" si="15"/>
        <v/>
      </c>
      <c r="T198" t="str">
        <f>IF(B198="","",IFERROR(_xlfn.XLOOKUP(B198,TableLibrarySigns[Block],TableLibrarySigns[UnitTime]),""))</f>
        <v/>
      </c>
      <c r="U198" t="str">
        <f>IF(B198="","",IFERROR(_xlfn.XLOOKUP(B198,TableLibrarySigns[Block],TableLibrarySigns[UnitCost]),""))</f>
        <v/>
      </c>
      <c r="V198" t="str">
        <f t="shared" si="16"/>
        <v/>
      </c>
    </row>
    <row r="199" spans="1:22" ht="16.8" customHeight="1">
      <c r="A199" t="str">
        <f t="shared" si="17"/>
        <v/>
      </c>
      <c r="D199" s="2"/>
      <c r="E199" s="6" t="str">
        <f>IF(SignsTable[[#This Row],[PKValue]]="","",IF(D199="","",INT(D199/1000)&amp;"+"&amp;TEXT(MOD(D199,1000),"000.00")))</f>
        <v/>
      </c>
      <c r="J199" t="str">
        <f>IF(B199="","",IFERROR(_xlfn.XLOOKUP(B199,TableLibrarySigns[Block],TableLibrarySigns[Material]),""))</f>
        <v/>
      </c>
      <c r="K199" t="str">
        <f>IF(B199="","",IFERROR(_xlfn.XLOOKUP(B199,TableLibrarySigns[Block],TableLibrarySigns[RotationMode]),""))</f>
        <v/>
      </c>
      <c r="L199" t="str">
        <f>IF(B199="","",IFERROR(_xlfn.XLOOKUP(B199,TableLibrarySigns[Block],TableLibrarySigns[Layer]),""))</f>
        <v/>
      </c>
      <c r="M199" t="str">
        <f>IF(B199="","",IFERROR(_xlfn.XLOOKUP(B199,TableLibrarySigns[Block],TableLibrarySigns[DWGName]),""))</f>
        <v/>
      </c>
      <c r="N199" t="str">
        <f>IF(B199="","",IFERROR(_xlfn.XLOOKUP(B199,TableLibrarySigns[Block],TableLibrarySigns[SignCode]),""))</f>
        <v/>
      </c>
      <c r="O199" t="str">
        <f>IF(B199="","",IFERROR(_xlfn.XLOOKUP(B199,TableLibrarySigns[Block],TableLibrarySigns[IFCEntity]),""))</f>
        <v/>
      </c>
      <c r="P199" t="str">
        <f>IF(B199="","",IFERROR(_xlfn.XLOOKUP(B199,TableLibrarySigns[Block],TableLibrarySigns[Category]),""))</f>
        <v/>
      </c>
      <c r="Q199" t="str">
        <f>IF(B199="","",IFERROR(_xlfn.XLOOKUP(B199,TableLibrarySigns[Block],TableLibrarySigns[Normative]),""))</f>
        <v/>
      </c>
      <c r="R199" t="str">
        <f>IF(B199="","",IFERROR(_xlfn.XLOOKUP(B199,TableLibrarySigns[Block],TableLibrarySigns[Description]),""))</f>
        <v/>
      </c>
      <c r="S199" t="str">
        <f t="shared" si="15"/>
        <v/>
      </c>
      <c r="T199" t="str">
        <f>IF(B199="","",IFERROR(_xlfn.XLOOKUP(B199,TableLibrarySigns[Block],TableLibrarySigns[UnitTime]),""))</f>
        <v/>
      </c>
      <c r="U199" t="str">
        <f>IF(B199="","",IFERROR(_xlfn.XLOOKUP(B199,TableLibrarySigns[Block],TableLibrarySigns[UnitCost]),""))</f>
        <v/>
      </c>
      <c r="V199" t="str">
        <f t="shared" si="16"/>
        <v/>
      </c>
    </row>
    <row r="200" spans="1:22" ht="16.8" customHeight="1">
      <c r="A200" t="str">
        <f t="shared" si="17"/>
        <v/>
      </c>
      <c r="D200" s="2"/>
      <c r="E200" s="6" t="str">
        <f>IF(SignsTable[[#This Row],[PKValue]]="","",IF(D200="","",INT(D200/1000)&amp;"+"&amp;TEXT(MOD(D200,1000),"000.00")))</f>
        <v/>
      </c>
      <c r="J200" t="str">
        <f>IF(B200="","",IFERROR(_xlfn.XLOOKUP(B200,TableLibrarySigns[Block],TableLibrarySigns[Material]),""))</f>
        <v/>
      </c>
      <c r="K200" t="str">
        <f>IF(B200="","",IFERROR(_xlfn.XLOOKUP(B200,TableLibrarySigns[Block],TableLibrarySigns[RotationMode]),""))</f>
        <v/>
      </c>
      <c r="L200" t="str">
        <f>IF(B200="","",IFERROR(_xlfn.XLOOKUP(B200,TableLibrarySigns[Block],TableLibrarySigns[Layer]),""))</f>
        <v/>
      </c>
      <c r="M200" t="str">
        <f>IF(B200="","",IFERROR(_xlfn.XLOOKUP(B200,TableLibrarySigns[Block],TableLibrarySigns[DWGName]),""))</f>
        <v/>
      </c>
      <c r="N200" t="str">
        <f>IF(B200="","",IFERROR(_xlfn.XLOOKUP(B200,TableLibrarySigns[Block],TableLibrarySigns[SignCode]),""))</f>
        <v/>
      </c>
      <c r="O200" t="str">
        <f>IF(B200="","",IFERROR(_xlfn.XLOOKUP(B200,TableLibrarySigns[Block],TableLibrarySigns[IFCEntity]),""))</f>
        <v/>
      </c>
      <c r="P200" t="str">
        <f>IF(B200="","",IFERROR(_xlfn.XLOOKUP(B200,TableLibrarySigns[Block],TableLibrarySigns[Category]),""))</f>
        <v/>
      </c>
      <c r="Q200" t="str">
        <f>IF(B200="","",IFERROR(_xlfn.XLOOKUP(B200,TableLibrarySigns[Block],TableLibrarySigns[Normative]),""))</f>
        <v/>
      </c>
      <c r="R200" t="str">
        <f>IF(B200="","",IFERROR(_xlfn.XLOOKUP(B200,TableLibrarySigns[Block],TableLibrarySigns[Description]),""))</f>
        <v/>
      </c>
      <c r="S200" t="str">
        <f t="shared" si="15"/>
        <v/>
      </c>
      <c r="T200" t="str">
        <f>IF(B200="","",IFERROR(_xlfn.XLOOKUP(B200,TableLibrarySigns[Block],TableLibrarySigns[UnitTime]),""))</f>
        <v/>
      </c>
      <c r="U200" t="str">
        <f>IF(B200="","",IFERROR(_xlfn.XLOOKUP(B200,TableLibrarySigns[Block],TableLibrarySigns[UnitCost]),""))</f>
        <v/>
      </c>
      <c r="V200" t="str">
        <f t="shared" si="16"/>
        <v/>
      </c>
    </row>
  </sheetData>
  <phoneticPr fontId="3" type="noConversion"/>
  <dataValidations count="2">
    <dataValidation type="list" sqref="C2:C200" xr:uid="{00000000-0002-0000-0000-000000000000}">
      <formula1>"LEFT,RIGHT"</formula1>
    </dataValidation>
    <dataValidation type="list" allowBlank="1" showInputMessage="1" showErrorMessage="1" sqref="B1:B1048576" xr:uid="{44569D96-735C-475F-8BB6-E48E792FFE1E}">
      <formula1>SIGN_BLOCKS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552F-A43C-427D-A5F9-FEB56BF300BA}">
  <dimension ref="A1:P31"/>
  <sheetViews>
    <sheetView zoomScale="85" zoomScaleNormal="85" workbookViewId="0">
      <selection activeCell="A10" sqref="A10"/>
    </sheetView>
  </sheetViews>
  <sheetFormatPr baseColWidth="10" defaultRowHeight="13.8"/>
  <cols>
    <col min="1" max="1" width="27" customWidth="1"/>
    <col min="2" max="2" width="12.8984375" customWidth="1"/>
    <col min="3" max="3" width="18.5" customWidth="1"/>
    <col min="4" max="4" width="23.09765625" customWidth="1"/>
    <col min="5" max="7" width="15.69921875" customWidth="1"/>
    <col min="8" max="8" width="30" customWidth="1"/>
    <col min="9" max="11" width="18.8984375" customWidth="1"/>
    <col min="12" max="12" width="22.296875" customWidth="1"/>
    <col min="13" max="13" width="30.296875" customWidth="1"/>
  </cols>
  <sheetData>
    <row r="1" spans="1:16" ht="16.8" customHeight="1">
      <c r="A1" s="3" t="s">
        <v>1</v>
      </c>
      <c r="B1" s="3" t="s">
        <v>74</v>
      </c>
      <c r="C1" s="3" t="s">
        <v>96</v>
      </c>
      <c r="D1" s="3" t="s">
        <v>9</v>
      </c>
      <c r="E1" s="3" t="s">
        <v>8</v>
      </c>
      <c r="F1" s="3" t="s">
        <v>98</v>
      </c>
      <c r="G1" s="3" t="s">
        <v>97</v>
      </c>
      <c r="H1" s="3" t="s">
        <v>113</v>
      </c>
      <c r="I1" s="3" t="s">
        <v>10</v>
      </c>
      <c r="J1" s="3" t="s">
        <v>11</v>
      </c>
      <c r="K1" s="3" t="s">
        <v>12</v>
      </c>
      <c r="L1" s="3" t="s">
        <v>44</v>
      </c>
      <c r="O1" s="3" t="s">
        <v>75</v>
      </c>
      <c r="P1" s="3" t="s">
        <v>101</v>
      </c>
    </row>
    <row r="2" spans="1:16" ht="16.8" customHeight="1">
      <c r="A2" s="4" t="s">
        <v>76</v>
      </c>
      <c r="B2" s="4" t="s">
        <v>20</v>
      </c>
      <c r="C2" s="4" t="s">
        <v>95</v>
      </c>
      <c r="D2" s="4" t="s">
        <v>21</v>
      </c>
      <c r="E2" s="4" t="s">
        <v>15</v>
      </c>
      <c r="F2" s="4">
        <v>0.3</v>
      </c>
      <c r="G2" s="4">
        <v>145</v>
      </c>
      <c r="H2" s="4" t="s">
        <v>122</v>
      </c>
      <c r="I2" t="s">
        <v>17</v>
      </c>
      <c r="J2" s="4" t="s">
        <v>18</v>
      </c>
      <c r="K2" t="s">
        <v>109</v>
      </c>
      <c r="L2" s="4" t="s">
        <v>91</v>
      </c>
      <c r="O2" s="4" t="s">
        <v>76</v>
      </c>
      <c r="P2" s="4" t="s">
        <v>102</v>
      </c>
    </row>
    <row r="3" spans="1:16" ht="16.8" customHeight="1">
      <c r="A3" s="4" t="s">
        <v>77</v>
      </c>
      <c r="B3" s="4" t="s">
        <v>20</v>
      </c>
      <c r="C3" s="4" t="s">
        <v>95</v>
      </c>
      <c r="D3" s="4" t="s">
        <v>21</v>
      </c>
      <c r="E3" s="4" t="s">
        <v>15</v>
      </c>
      <c r="F3" s="4">
        <v>0.3</v>
      </c>
      <c r="G3" s="4">
        <v>145</v>
      </c>
      <c r="H3" s="4" t="s">
        <v>123</v>
      </c>
      <c r="I3" t="s">
        <v>17</v>
      </c>
      <c r="J3" s="4" t="s">
        <v>18</v>
      </c>
      <c r="K3" t="s">
        <v>109</v>
      </c>
      <c r="L3" s="4" t="s">
        <v>92</v>
      </c>
      <c r="O3" s="4" t="s">
        <v>77</v>
      </c>
      <c r="P3" s="4" t="s">
        <v>103</v>
      </c>
    </row>
    <row r="4" spans="1:16" ht="16.8" customHeight="1">
      <c r="A4" s="4" t="s">
        <v>78</v>
      </c>
      <c r="B4" s="4" t="s">
        <v>73</v>
      </c>
      <c r="C4" s="4" t="s">
        <v>95</v>
      </c>
      <c r="D4" s="4" t="s">
        <v>21</v>
      </c>
      <c r="E4" s="4" t="s">
        <v>15</v>
      </c>
      <c r="F4" s="4">
        <v>0.3</v>
      </c>
      <c r="G4" s="4">
        <v>145</v>
      </c>
      <c r="H4" s="4" t="s">
        <v>124</v>
      </c>
      <c r="I4" t="s">
        <v>17</v>
      </c>
      <c r="J4" s="4" t="s">
        <v>18</v>
      </c>
      <c r="K4" t="s">
        <v>109</v>
      </c>
      <c r="L4" s="4" t="s">
        <v>85</v>
      </c>
      <c r="O4" s="4" t="s">
        <v>78</v>
      </c>
      <c r="P4" s="4" t="s">
        <v>104</v>
      </c>
    </row>
    <row r="5" spans="1:16" ht="16.8" customHeight="1">
      <c r="A5" s="4" t="s">
        <v>79</v>
      </c>
      <c r="B5" s="4" t="s">
        <v>86</v>
      </c>
      <c r="C5" s="4" t="s">
        <v>95</v>
      </c>
      <c r="D5" s="4" t="s">
        <v>21</v>
      </c>
      <c r="E5" s="4" t="s">
        <v>15</v>
      </c>
      <c r="F5" s="4">
        <v>0.3</v>
      </c>
      <c r="G5" s="4">
        <v>145</v>
      </c>
      <c r="H5" s="4" t="s">
        <v>125</v>
      </c>
      <c r="I5" t="s">
        <v>17</v>
      </c>
      <c r="J5" s="4" t="s">
        <v>18</v>
      </c>
      <c r="K5" t="s">
        <v>109</v>
      </c>
      <c r="L5" s="4" t="s">
        <v>93</v>
      </c>
      <c r="O5" s="4" t="s">
        <v>79</v>
      </c>
      <c r="P5" s="4" t="s">
        <v>105</v>
      </c>
    </row>
    <row r="6" spans="1:16" ht="16.8" customHeight="1">
      <c r="A6" s="4" t="s">
        <v>80</v>
      </c>
      <c r="B6" s="4" t="s">
        <v>87</v>
      </c>
      <c r="C6" s="4" t="s">
        <v>95</v>
      </c>
      <c r="D6" s="4" t="s">
        <v>16</v>
      </c>
      <c r="E6" s="4" t="s">
        <v>15</v>
      </c>
      <c r="F6" s="4">
        <v>0.3</v>
      </c>
      <c r="G6" s="4">
        <v>145</v>
      </c>
      <c r="H6" s="4" t="s">
        <v>126</v>
      </c>
      <c r="I6" t="s">
        <v>17</v>
      </c>
      <c r="J6" s="4" t="s">
        <v>18</v>
      </c>
      <c r="K6" t="s">
        <v>110</v>
      </c>
      <c r="L6" s="4" t="s">
        <v>88</v>
      </c>
      <c r="O6" s="4" t="s">
        <v>80</v>
      </c>
      <c r="P6" s="4" t="s">
        <v>106</v>
      </c>
    </row>
    <row r="7" spans="1:16" ht="16.8" customHeight="1">
      <c r="A7" s="4" t="s">
        <v>81</v>
      </c>
      <c r="B7" s="4" t="s">
        <v>89</v>
      </c>
      <c r="C7" s="4" t="s">
        <v>95</v>
      </c>
      <c r="D7" s="4" t="s">
        <v>22</v>
      </c>
      <c r="E7" s="4" t="s">
        <v>15</v>
      </c>
      <c r="F7" s="4">
        <v>0.3</v>
      </c>
      <c r="G7" s="4">
        <v>145</v>
      </c>
      <c r="H7" s="4" t="s">
        <v>127</v>
      </c>
      <c r="I7" t="s">
        <v>17</v>
      </c>
      <c r="J7" s="4" t="s">
        <v>18</v>
      </c>
      <c r="K7" t="s">
        <v>111</v>
      </c>
      <c r="L7" s="4" t="s">
        <v>90</v>
      </c>
      <c r="O7" s="4" t="s">
        <v>81</v>
      </c>
      <c r="P7" s="4" t="s">
        <v>107</v>
      </c>
    </row>
    <row r="8" spans="1:16" ht="41.4">
      <c r="A8" s="4" t="s">
        <v>121</v>
      </c>
      <c r="B8" s="4" t="s">
        <v>82</v>
      </c>
      <c r="C8" s="4" t="s">
        <v>95</v>
      </c>
      <c r="D8" s="4" t="s">
        <v>84</v>
      </c>
      <c r="E8" s="4" t="s">
        <v>15</v>
      </c>
      <c r="F8" s="4">
        <v>0.3</v>
      </c>
      <c r="G8" s="4">
        <v>145</v>
      </c>
      <c r="H8" s="4" t="s">
        <v>128</v>
      </c>
      <c r="I8" s="4" t="s">
        <v>39</v>
      </c>
      <c r="J8" s="4" t="s">
        <v>18</v>
      </c>
      <c r="K8" t="s">
        <v>112</v>
      </c>
      <c r="L8" s="4" t="s">
        <v>94</v>
      </c>
      <c r="O8" s="4" t="s">
        <v>83</v>
      </c>
      <c r="P8" s="4" t="s">
        <v>108</v>
      </c>
    </row>
    <row r="9" spans="1:16">
      <c r="A9" t="s">
        <v>115</v>
      </c>
      <c r="B9" t="s">
        <v>116</v>
      </c>
      <c r="C9" t="s">
        <v>95</v>
      </c>
      <c r="D9" t="s">
        <v>22</v>
      </c>
      <c r="E9" t="s">
        <v>15</v>
      </c>
      <c r="F9">
        <v>0.3</v>
      </c>
      <c r="G9">
        <v>145</v>
      </c>
      <c r="H9" t="s">
        <v>129</v>
      </c>
      <c r="I9" t="s">
        <v>17</v>
      </c>
      <c r="J9" t="s">
        <v>18</v>
      </c>
      <c r="K9" t="s">
        <v>111</v>
      </c>
      <c r="L9" t="s">
        <v>119</v>
      </c>
    </row>
    <row r="10" spans="1:16">
      <c r="A10" t="s">
        <v>117</v>
      </c>
      <c r="B10" t="s">
        <v>118</v>
      </c>
      <c r="C10" t="s">
        <v>95</v>
      </c>
      <c r="D10" t="s">
        <v>22</v>
      </c>
      <c r="E10" t="s">
        <v>15</v>
      </c>
      <c r="F10">
        <v>0.3</v>
      </c>
      <c r="G10">
        <v>145</v>
      </c>
      <c r="H10" t="s">
        <v>130</v>
      </c>
      <c r="I10" t="s">
        <v>17</v>
      </c>
      <c r="J10" t="s">
        <v>18</v>
      </c>
      <c r="K10" t="s">
        <v>111</v>
      </c>
      <c r="L10" t="s">
        <v>120</v>
      </c>
    </row>
    <row r="29" spans="1:12">
      <c r="A29" s="3"/>
      <c r="B29" s="3"/>
      <c r="C29" s="3"/>
      <c r="D29" s="3"/>
      <c r="E29" s="3"/>
      <c r="F29" s="9"/>
      <c r="G29" s="9"/>
      <c r="H29" s="3"/>
      <c r="I29" s="3"/>
      <c r="J29" s="3"/>
      <c r="K29" s="3"/>
      <c r="L29" s="3"/>
    </row>
    <row r="30" spans="1:12" ht="15">
      <c r="A30" s="10"/>
      <c r="B30" s="10"/>
      <c r="C30" s="10"/>
      <c r="D30" s="10"/>
      <c r="E30" s="10"/>
      <c r="F30" s="8"/>
      <c r="G30" s="8"/>
      <c r="H30" s="10"/>
      <c r="I30" s="10"/>
      <c r="J30" s="10"/>
      <c r="K30" s="10"/>
      <c r="L30" s="4"/>
    </row>
    <row r="31" spans="1:12" ht="15">
      <c r="A31" s="10"/>
      <c r="B31" s="10"/>
      <c r="C31" s="10"/>
      <c r="D31" s="10"/>
      <c r="E31" s="10"/>
      <c r="F31" s="8"/>
      <c r="G31" s="8"/>
      <c r="H31" s="10"/>
      <c r="I31" s="10"/>
      <c r="J31" s="10"/>
      <c r="K31" s="10"/>
      <c r="L31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zoomScaleNormal="100" workbookViewId="0">
      <selection activeCell="E12" sqref="E12"/>
    </sheetView>
  </sheetViews>
  <sheetFormatPr baseColWidth="10" defaultColWidth="8.796875" defaultRowHeight="13.8"/>
  <cols>
    <col min="1" max="1" width="9.8984375" customWidth="1"/>
    <col min="2" max="2" width="7.296875" style="19" customWidth="1"/>
    <col min="3" max="3" width="18.8984375" style="19" customWidth="1"/>
    <col min="4" max="4" width="18.69921875" customWidth="1"/>
    <col min="5" max="5" width="13.296875" customWidth="1"/>
    <col min="6" max="6" width="27.796875" style="19" customWidth="1"/>
    <col min="7" max="7" width="21.3984375" style="22" customWidth="1"/>
    <col min="8" max="8" width="22.5" style="22" customWidth="1"/>
    <col min="9" max="9" width="16.3984375" style="19" customWidth="1"/>
    <col min="10" max="12" width="20.3984375" customWidth="1"/>
    <col min="13" max="13" width="20.296875" customWidth="1"/>
    <col min="14" max="16" width="19.296875" customWidth="1"/>
    <col min="17" max="17" width="14" customWidth="1"/>
    <col min="18" max="18" width="15.19921875" bestFit="1" customWidth="1"/>
    <col min="20" max="20" width="9.09765625" customWidth="1"/>
    <col min="21" max="21" width="11.8984375" customWidth="1"/>
    <col min="22" max="22" width="16.09765625" customWidth="1"/>
    <col min="23" max="23" width="14.5" customWidth="1"/>
    <col min="24" max="24" width="31.69921875" customWidth="1"/>
    <col min="25" max="25" width="16.5" customWidth="1"/>
    <col min="26" max="26" width="32.8984375" customWidth="1"/>
    <col min="27" max="27" width="19" style="19" customWidth="1"/>
    <col min="28" max="28" width="10.59765625" style="19" bestFit="1" customWidth="1"/>
    <col min="29" max="29" width="14.796875" style="19" bestFit="1" customWidth="1"/>
    <col min="30" max="16384" width="8.796875" style="19"/>
  </cols>
  <sheetData>
    <row r="1" spans="1:26">
      <c r="A1" s="1" t="s">
        <v>0</v>
      </c>
      <c r="B1" s="18" t="s">
        <v>2</v>
      </c>
      <c r="C1" s="18" t="s">
        <v>25</v>
      </c>
      <c r="D1" s="18" t="s">
        <v>27</v>
      </c>
      <c r="E1" s="18" t="s">
        <v>5</v>
      </c>
      <c r="F1" s="18" t="s">
        <v>133</v>
      </c>
      <c r="G1" s="1" t="s">
        <v>24</v>
      </c>
      <c r="H1" s="17" t="s">
        <v>26</v>
      </c>
      <c r="I1" s="1" t="s">
        <v>71</v>
      </c>
      <c r="J1" s="1" t="s">
        <v>28</v>
      </c>
      <c r="K1" s="24" t="s">
        <v>180</v>
      </c>
      <c r="L1" s="24" t="s">
        <v>181</v>
      </c>
      <c r="M1" s="1" t="s">
        <v>168</v>
      </c>
      <c r="N1" s="1" t="s">
        <v>10</v>
      </c>
      <c r="O1" s="1" t="s">
        <v>178</v>
      </c>
      <c r="P1" s="1" t="s">
        <v>179</v>
      </c>
      <c r="Q1" s="1" t="s">
        <v>6</v>
      </c>
      <c r="R1" s="1" t="s">
        <v>29</v>
      </c>
      <c r="S1" s="1" t="s">
        <v>30</v>
      </c>
      <c r="T1" s="1" t="s">
        <v>31</v>
      </c>
      <c r="U1" s="1" t="s">
        <v>12</v>
      </c>
      <c r="V1" s="1" t="s">
        <v>131</v>
      </c>
      <c r="W1" s="1" t="s">
        <v>132</v>
      </c>
      <c r="X1" s="1" t="s">
        <v>13</v>
      </c>
      <c r="Y1" s="19"/>
      <c r="Z1" s="19"/>
    </row>
    <row r="2" spans="1:26">
      <c r="A2" t="str">
        <f t="shared" ref="A2:A65" si="0">IF(B2="","","B"&amp;TEXT(ROW()-1,"000"))</f>
        <v>B001</v>
      </c>
      <c r="B2" s="19" t="s">
        <v>14</v>
      </c>
      <c r="C2" s="20">
        <v>6300</v>
      </c>
      <c r="D2" s="21">
        <v>7217</v>
      </c>
      <c r="E2" s="19">
        <v>6</v>
      </c>
      <c r="F2" s="19" t="s">
        <v>141</v>
      </c>
      <c r="G2" s="16" t="str">
        <f>IF(BarriersTable[[#This Row],[PKStartValue]]="","",IF(C2="","",INT(C2/1000)&amp;"+"&amp;TEXT(MOD(C2,1000),"000.00")))</f>
        <v>6+300.00</v>
      </c>
      <c r="H2" s="16" t="str">
        <f>IF(BarriersTable[[#This Row],[PKEndValue]]="","",IF(D2="","",INT(D2/1000)&amp;"+"&amp;TEXT(MOD(D2,1000),"000.00")))</f>
        <v>7+217.00</v>
      </c>
      <c r="I2" t="str">
        <f>IF(F2="","",IFERROR(_xlfn.XLOOKUP(F2,TableLibraryBarriers[Type],TableLibraryBarriers[BarrierFamily]),""))</f>
        <v>Bionda</v>
      </c>
      <c r="J2" t="str">
        <f>IF(F2="","",IFERROR(_xlfn.XLOOKUP(F2,TableLibraryBarriers[Type],TableLibraryBarriers[BarrierType]),""))</f>
        <v>Metallic semi-rigid</v>
      </c>
      <c r="K2" t="str">
        <f>IF(F2="","",IFERROR(_xlfn.XLOOKUP(F2,TableLibraryBarriers[Type],TableLibraryBarriers[BlockLinear]),""))</f>
        <v>BLOCK_BIONDA_BM_STD</v>
      </c>
      <c r="L2" t="str">
        <f>IF(F2="","",IFERROR(_xlfn.XLOOKUP(F2,TableLibraryBarriers[Type],TableLibraryBarriers[BlockPost]),""))</f>
        <v>BLOCK_POST_BM_STD</v>
      </c>
      <c r="M2" t="str">
        <f>IF(F2="","",IFERROR(_xlfn.XLOOKUP(F2,TableLibraryBarriers[Type],TableLibraryBarriers[IFCEntity]),""))</f>
        <v>IfcRailing</v>
      </c>
      <c r="N2" t="str">
        <f>IF(F2="","",IFERROR(_xlfn.XLOOKUP(F2,TableLibraryBarriers[Type],TableLibraryBarriers[Material]),""))</f>
        <v>Steel</v>
      </c>
      <c r="O2">
        <f>IF(F2="","",IFERROR(_xlfn.XLOOKUP(F2,TableLibraryBarriers[Type],TableLibraryBarriers[PostSpacing]),""))</f>
        <v>4</v>
      </c>
      <c r="P2">
        <f>IF(F2="","",IFERROR(_xlfn.XLOOKUP(F2,TableLibraryBarriers[Type],TableLibraryBarriers[ModuleLength]),""))</f>
        <v>4</v>
      </c>
      <c r="Q2">
        <f>IF(F2="","",IFERROR(_xlfn.XLOOKUP(F2,TableLibraryBarriers[Type],TableLibraryBarriers[Height]),""))</f>
        <v>0.75</v>
      </c>
      <c r="R2">
        <f>IF(F2="","",IFERROR(_xlfn.XLOOKUP(F2,TableLibraryBarriers[Type],TableLibraryBarriers[Width]),""))</f>
        <v>0.4</v>
      </c>
      <c r="S2" t="str">
        <f>IF(F2="","",IFERROR(_xlfn.XLOOKUP(F2,TableLibraryBarriers[Type],TableLibraryBarriers[ContainmentLevel]),""))</f>
        <v>H1</v>
      </c>
      <c r="T2" t="str">
        <f>IF(F2="","",IFERROR(_xlfn.XLOOKUP(F2,TableLibraryBarriers[Type],TableLibraryBarriers[WorkingWidth]),""))</f>
        <v>W4</v>
      </c>
      <c r="U2" t="str">
        <f>IF(F2="","",IFERROR(_xlfn.XLOOKUP(F2,TableLibraryBarriers[Type],TableLibraryBarriers[Layer]),""))</f>
        <v>C-BARRIER</v>
      </c>
      <c r="V2">
        <f>IF(F2="","",IFERROR(_xlfn.XLOOKUP(F2,TableLibraryBarriers[Type],TableLibraryBarriers[TimeUnitLength(h)]),""))</f>
        <v>0.35</v>
      </c>
      <c r="W2">
        <f>IF(F2="","",IFERROR(_xlfn.XLOOKUP(F2,TableLibraryBarriers[Type],TableLibraryBarriers[CostUnitLength]),""))</f>
        <v>165</v>
      </c>
      <c r="X2" t="str">
        <f>IF(F2="","",IFERROR(_xlfn.XLOOKUP(F2,TableLibraryBarriers[Type],TableLibraryBarriers[Notes]),""))</f>
        <v>Higher containment level</v>
      </c>
      <c r="Y2" s="19"/>
      <c r="Z2" s="19"/>
    </row>
    <row r="3" spans="1:26">
      <c r="A3" t="str">
        <f t="shared" si="0"/>
        <v>B002</v>
      </c>
      <c r="B3" s="19" t="s">
        <v>19</v>
      </c>
      <c r="C3" s="20">
        <v>6300</v>
      </c>
      <c r="D3" s="21">
        <v>7219</v>
      </c>
      <c r="E3" s="19">
        <v>6</v>
      </c>
      <c r="F3" s="19" t="s">
        <v>141</v>
      </c>
      <c r="G3" s="16" t="str">
        <f>IF(BarriersTable[[#This Row],[PKStartValue]]="","",IF(C3="","",INT(C3/1000)&amp;"+"&amp;TEXT(MOD(C3,1000),"000.00")))</f>
        <v>6+300.00</v>
      </c>
      <c r="H3" s="16" t="str">
        <f>IF(BarriersTable[[#This Row],[PKEndValue]]="","",IF(D3="","",INT(D3/1000)&amp;"+"&amp;TEXT(MOD(D3,1000),"000.00")))</f>
        <v>7+219.00</v>
      </c>
      <c r="I3" t="str">
        <f>IF(F3="","",IFERROR(_xlfn.XLOOKUP(F3,TableLibraryBarriers[Type],TableLibraryBarriers[BarrierFamily]),""))</f>
        <v>Bionda</v>
      </c>
      <c r="J3" t="str">
        <f>IF(F3="","",IFERROR(_xlfn.XLOOKUP(F3,TableLibraryBarriers[Type],TableLibraryBarriers[BarrierType]),""))</f>
        <v>Metallic semi-rigid</v>
      </c>
      <c r="K3" t="str">
        <f>IF(F3="","",IFERROR(_xlfn.XLOOKUP(F3,TableLibraryBarriers[Type],TableLibraryBarriers[BlockLinear]),""))</f>
        <v>BLOCK_BIONDA_BM_STD</v>
      </c>
      <c r="L3" t="str">
        <f>IF(F3="","",IFERROR(_xlfn.XLOOKUP(F3,TableLibraryBarriers[Type],TableLibraryBarriers[BlockPost]),""))</f>
        <v>BLOCK_POST_BM_STD</v>
      </c>
      <c r="M3" t="str">
        <f>IF(F3="","",IFERROR(_xlfn.XLOOKUP(F3,TableLibraryBarriers[Type],TableLibraryBarriers[IFCEntity]),""))</f>
        <v>IfcRailing</v>
      </c>
      <c r="N3" t="str">
        <f>IF(F3="","",IFERROR(_xlfn.XLOOKUP(F3,TableLibraryBarriers[Type],TableLibraryBarriers[Material]),""))</f>
        <v>Steel</v>
      </c>
      <c r="O3">
        <f>IF(F3="","",IFERROR(_xlfn.XLOOKUP(F3,TableLibraryBarriers[Type],TableLibraryBarriers[PostSpacing]),""))</f>
        <v>4</v>
      </c>
      <c r="P3">
        <f>IF(F3="","",IFERROR(_xlfn.XLOOKUP(F3,TableLibraryBarriers[Type],TableLibraryBarriers[ModuleLength]),""))</f>
        <v>4</v>
      </c>
      <c r="Q3">
        <f>IF(F3="","",IFERROR(_xlfn.XLOOKUP(F3,TableLibraryBarriers[Type],TableLibraryBarriers[Height]),""))</f>
        <v>0.75</v>
      </c>
      <c r="R3">
        <f>IF(F3="","",IFERROR(_xlfn.XLOOKUP(F3,TableLibraryBarriers[Type],TableLibraryBarriers[Width]),""))</f>
        <v>0.4</v>
      </c>
      <c r="S3" t="str">
        <f>IF(F3="","",IFERROR(_xlfn.XLOOKUP(F3,TableLibraryBarriers[Type],TableLibraryBarriers[ContainmentLevel]),""))</f>
        <v>H1</v>
      </c>
      <c r="T3" t="str">
        <f>IF(F3="","",IFERROR(_xlfn.XLOOKUP(F3,TableLibraryBarriers[Type],TableLibraryBarriers[WorkingWidth]),""))</f>
        <v>W4</v>
      </c>
      <c r="U3" t="str">
        <f>IF(F3="","",IFERROR(_xlfn.XLOOKUP(F3,TableLibraryBarriers[Type],TableLibraryBarriers[Layer]),""))</f>
        <v>C-BARRIER</v>
      </c>
      <c r="V3">
        <f>IF(F3="","",IFERROR(_xlfn.XLOOKUP(F3,TableLibraryBarriers[Type],TableLibraryBarriers[TimeUnitLength(h)]),""))</f>
        <v>0.35</v>
      </c>
      <c r="W3">
        <f>IF(F3="","",IFERROR(_xlfn.XLOOKUP(F3,TableLibraryBarriers[Type],TableLibraryBarriers[CostUnitLength]),""))</f>
        <v>165</v>
      </c>
      <c r="X3" t="str">
        <f>IF(F3="","",IFERROR(_xlfn.XLOOKUP(F3,TableLibraryBarriers[Type],TableLibraryBarriers[Notes]),""))</f>
        <v>Higher containment level</v>
      </c>
      <c r="Y3" s="19"/>
      <c r="Z3" s="19"/>
    </row>
    <row r="4" spans="1:26">
      <c r="A4" t="str">
        <f t="shared" si="0"/>
        <v>B003</v>
      </c>
      <c r="B4" s="19" t="s">
        <v>19</v>
      </c>
      <c r="C4" s="20">
        <v>6804</v>
      </c>
      <c r="D4" s="21">
        <v>7300</v>
      </c>
      <c r="E4" s="19">
        <v>7</v>
      </c>
      <c r="F4" s="19" t="s">
        <v>147</v>
      </c>
      <c r="G4" s="16" t="str">
        <f>IF(BarriersTable[[#This Row],[PKStartValue]]="","",IF(C4="","",INT(C4/1000)&amp;"+"&amp;TEXT(MOD(C4,1000),"000.00")))</f>
        <v>6+804.00</v>
      </c>
      <c r="H4" s="16" t="str">
        <f>IF(BarriersTable[[#This Row],[PKEndValue]]="","",IF(D4="","",INT(D4/1000)&amp;"+"&amp;TEXT(MOD(D4,1000),"000.00")))</f>
        <v>7+300.00</v>
      </c>
      <c r="I4" t="str">
        <f>IF(F4="","",IFERROR(_xlfn.XLOOKUP(F4,TableLibraryBarriers[Type],TableLibraryBarriers[BarrierFamily]),""))</f>
        <v>Metal Parapet</v>
      </c>
      <c r="J4" t="str">
        <f>IF(F4="","",IFERROR(_xlfn.XLOOKUP(F4,TableLibraryBarriers[Type],TableLibraryBarriers[BarrierType]),""))</f>
        <v>Bridge parapet</v>
      </c>
      <c r="K4" t="str">
        <f>IF(F4="","",IFERROR(_xlfn.XLOOKUP(F4,TableLibraryBarriers[Type],TableLibraryBarriers[BlockLinear]),""))</f>
        <v>BLOCK_BIONDA_BM_STD</v>
      </c>
      <c r="L4" t="str">
        <f>IF(F4="","",IFERROR(_xlfn.XLOOKUP(F4,TableLibraryBarriers[Type],TableLibraryBarriers[BlockPost]),""))</f>
        <v>BLOCK_POST_PM_H2_B_W3</v>
      </c>
      <c r="M4" t="str">
        <f>IF(F4="","",IFERROR(_xlfn.XLOOKUP(F4,TableLibraryBarriers[Type],TableLibraryBarriers[IFCEntity]),""))</f>
        <v>IfcRailing</v>
      </c>
      <c r="N4" t="str">
        <f>IF(F4="","",IFERROR(_xlfn.XLOOKUP(F4,TableLibraryBarriers[Type],TableLibraryBarriers[Material]),""))</f>
        <v>Steel</v>
      </c>
      <c r="O4">
        <f>IF(F4="","",IFERROR(_xlfn.XLOOKUP(F4,TableLibraryBarriers[Type],TableLibraryBarriers[PostSpacing]),""))</f>
        <v>2</v>
      </c>
      <c r="P4">
        <f>IF(F4="","",IFERROR(_xlfn.XLOOKUP(F4,TableLibraryBarriers[Type],TableLibraryBarriers[ModuleLength]),""))</f>
        <v>0</v>
      </c>
      <c r="Q4">
        <f>IF(F4="","",IFERROR(_xlfn.XLOOKUP(F4,TableLibraryBarriers[Type],TableLibraryBarriers[Height]),""))</f>
        <v>0.85</v>
      </c>
      <c r="R4">
        <f>IF(F4="","",IFERROR(_xlfn.XLOOKUP(F4,TableLibraryBarriers[Type],TableLibraryBarriers[Width]),""))</f>
        <v>0.5</v>
      </c>
      <c r="S4" t="str">
        <f>IF(F4="","",IFERROR(_xlfn.XLOOKUP(F4,TableLibraryBarriers[Type],TableLibraryBarriers[ContainmentLevel]),""))</f>
        <v>H2</v>
      </c>
      <c r="T4" t="str">
        <f>IF(F4="","",IFERROR(_xlfn.XLOOKUP(F4,TableLibraryBarriers[Type],TableLibraryBarriers[WorkingWidth]),""))</f>
        <v>W3</v>
      </c>
      <c r="U4" t="str">
        <f>IF(F4="","",IFERROR(_xlfn.XLOOKUP(F4,TableLibraryBarriers[Type],TableLibraryBarriers[Layer]),""))</f>
        <v>C-BARRIER</v>
      </c>
      <c r="V4">
        <f>IF(F4="","",IFERROR(_xlfn.XLOOKUP(F4,TableLibraryBarriers[Type],TableLibraryBarriers[TimeUnitLength(h)]),""))</f>
        <v>0.45</v>
      </c>
      <c r="W4">
        <f>IF(F4="","",IFERROR(_xlfn.XLOOKUP(F4,TableLibraryBarriers[Type],TableLibraryBarriers[CostUnitLength]),""))</f>
        <v>290</v>
      </c>
      <c r="X4" t="str">
        <f>IF(F4="","",IFERROR(_xlfn.XLOOKUP(F4,TableLibraryBarriers[Type],TableLibraryBarriers[Notes]),""))</f>
        <v>Bridge restraint system</v>
      </c>
      <c r="Y4" s="19"/>
      <c r="Z4" s="19"/>
    </row>
    <row r="5" spans="1:26">
      <c r="A5" t="str">
        <f t="shared" si="0"/>
        <v/>
      </c>
      <c r="C5" s="20"/>
      <c r="D5" s="21"/>
      <c r="E5" s="19"/>
      <c r="G5" s="16" t="str">
        <f>IF(BarriersTable[[#This Row],[PKStartValue]]="","",IF(C5="","",INT(C5/1000)&amp;"+"&amp;TEXT(MOD(C5,1000),"000.00")))</f>
        <v/>
      </c>
      <c r="H5" s="16" t="str">
        <f>IF(BarriersTable[[#This Row],[PKEndValue]]="","",IF(D5="","",INT(D5/1000)&amp;"+"&amp;TEXT(MOD(D5,1000),"000.00")))</f>
        <v/>
      </c>
      <c r="I5" t="str">
        <f>IF(F5="","",IFERROR(_xlfn.XLOOKUP(F5,TableLibraryBarriers[Type],TableLibraryBarriers[BarrierFamily]),""))</f>
        <v/>
      </c>
      <c r="J5" t="str">
        <f>IF(F5="","",IFERROR(_xlfn.XLOOKUP(F5,TableLibraryBarriers[Type],TableLibraryBarriers[BarrierType]),""))</f>
        <v/>
      </c>
      <c r="K5" t="str">
        <f>IF(F5="","",IFERROR(_xlfn.XLOOKUP(F5,TableLibraryBarriers[Type],TableLibraryBarriers[BlockLinear]),""))</f>
        <v/>
      </c>
      <c r="L5" t="str">
        <f>IF(F5="","",IFERROR(_xlfn.XLOOKUP(F5,TableLibraryBarriers[Type],TableLibraryBarriers[BlockPost]),""))</f>
        <v/>
      </c>
      <c r="M5" t="str">
        <f>IF(F5="","",IFERROR(_xlfn.XLOOKUP(F5,TableLibraryBarriers[Type],TableLibraryBarriers[IFCEntity]),""))</f>
        <v/>
      </c>
      <c r="N5" t="str">
        <f>IF(F5="","",IFERROR(_xlfn.XLOOKUP(F5,TableLibraryBarriers[Type],TableLibraryBarriers[Material]),""))</f>
        <v/>
      </c>
      <c r="O5" t="str">
        <f>IF(F5="","",IFERROR(_xlfn.XLOOKUP(F5,TableLibraryBarriers[Type],TableLibraryBarriers[PostSpacing]),""))</f>
        <v/>
      </c>
      <c r="P5" t="str">
        <f>IF(F5="","",IFERROR(_xlfn.XLOOKUP(F5,TableLibraryBarriers[Type],TableLibraryBarriers[ModuleLength]),""))</f>
        <v/>
      </c>
      <c r="Q5" t="str">
        <f>IF(F5="","",IFERROR(_xlfn.XLOOKUP(F5,TableLibraryBarriers[Type],TableLibraryBarriers[Height]),""))</f>
        <v/>
      </c>
      <c r="R5" t="str">
        <f>IF(F5="","",IFERROR(_xlfn.XLOOKUP(F5,TableLibraryBarriers[Type],TableLibraryBarriers[Width]),""))</f>
        <v/>
      </c>
      <c r="S5" t="str">
        <f>IF(F5="","",IFERROR(_xlfn.XLOOKUP(F5,TableLibraryBarriers[Type],TableLibraryBarriers[ContainmentLevel]),""))</f>
        <v/>
      </c>
      <c r="T5" t="str">
        <f>IF(F5="","",IFERROR(_xlfn.XLOOKUP(F5,TableLibraryBarriers[Type],TableLibraryBarriers[WorkingWidth]),""))</f>
        <v/>
      </c>
      <c r="U5" t="str">
        <f>IF(F5="","",IFERROR(_xlfn.XLOOKUP(F5,TableLibraryBarriers[Type],TableLibraryBarriers[Layer]),""))</f>
        <v/>
      </c>
      <c r="V5" t="str">
        <f>IF(F5="","",IFERROR(_xlfn.XLOOKUP(F5,TableLibraryBarriers[Type],TableLibraryBarriers[TimeUnitLength(h)]),""))</f>
        <v/>
      </c>
      <c r="W5" t="str">
        <f>IF(F5="","",IFERROR(_xlfn.XLOOKUP(F5,TableLibraryBarriers[Type],TableLibraryBarriers[CostUnitLength]),""))</f>
        <v/>
      </c>
      <c r="X5" t="str">
        <f>IF(F5="","",IFERROR(_xlfn.XLOOKUP(F5,TableLibraryBarriers[Type],TableLibraryBarriers[Notes]),""))</f>
        <v/>
      </c>
      <c r="Y5" s="19"/>
      <c r="Z5" s="19"/>
    </row>
    <row r="6" spans="1:26">
      <c r="A6" t="str">
        <f t="shared" si="0"/>
        <v/>
      </c>
      <c r="C6" s="21"/>
      <c r="D6" s="21"/>
      <c r="E6" s="19"/>
      <c r="G6" s="16" t="str">
        <f>IF(BarriersTable[[#This Row],[PKStartValue]]="","",IF(C6="","",INT(C6/1000)&amp;"+"&amp;TEXT(MOD(C6,1000),"000.00")))</f>
        <v/>
      </c>
      <c r="H6" s="16" t="str">
        <f>IF(BarriersTable[[#This Row],[PKEndValue]]="","",IF(D6="","",INT(D6/1000)&amp;"+"&amp;TEXT(MOD(D6,1000),"000.00")))</f>
        <v/>
      </c>
      <c r="I6" t="str">
        <f>IF(F6="","",IFERROR(_xlfn.XLOOKUP(F6,TableLibraryBarriers[Type],TableLibraryBarriers[BarrierFamily]),""))</f>
        <v/>
      </c>
      <c r="J6" t="str">
        <f>IF(F6="","",IFERROR(_xlfn.XLOOKUP(F6,TableLibraryBarriers[Type],TableLibraryBarriers[BarrierType]),""))</f>
        <v/>
      </c>
      <c r="K6" t="str">
        <f>IF(F6="","",IFERROR(_xlfn.XLOOKUP(F6,TableLibraryBarriers[Type],TableLibraryBarriers[BlockLinear]),""))</f>
        <v/>
      </c>
      <c r="L6" t="str">
        <f>IF(F6="","",IFERROR(_xlfn.XLOOKUP(F6,TableLibraryBarriers[Type],TableLibraryBarriers[BlockPost]),""))</f>
        <v/>
      </c>
      <c r="M6" t="str">
        <f>IF(F6="","",IFERROR(_xlfn.XLOOKUP(F6,TableLibraryBarriers[Type],TableLibraryBarriers[IFCEntity]),""))</f>
        <v/>
      </c>
      <c r="N6" t="str">
        <f>IF(F6="","",IFERROR(_xlfn.XLOOKUP(F6,TableLibraryBarriers[Type],TableLibraryBarriers[Material]),""))</f>
        <v/>
      </c>
      <c r="O6" t="str">
        <f>IF(F6="","",IFERROR(_xlfn.XLOOKUP(F6,TableLibraryBarriers[Type],TableLibraryBarriers[PostSpacing]),""))</f>
        <v/>
      </c>
      <c r="P6" t="str">
        <f>IF(F6="","",IFERROR(_xlfn.XLOOKUP(F6,TableLibraryBarriers[Type],TableLibraryBarriers[ModuleLength]),""))</f>
        <v/>
      </c>
      <c r="Q6" t="str">
        <f>IF(F6="","",IFERROR(_xlfn.XLOOKUP(F6,TableLibraryBarriers[Type],TableLibraryBarriers[Height]),""))</f>
        <v/>
      </c>
      <c r="R6" t="str">
        <f>IF(F6="","",IFERROR(_xlfn.XLOOKUP(F6,TableLibraryBarriers[Type],TableLibraryBarriers[Width]),""))</f>
        <v/>
      </c>
      <c r="S6" t="str">
        <f>IF(F6="","",IFERROR(_xlfn.XLOOKUP(F6,TableLibraryBarriers[Type],TableLibraryBarriers[ContainmentLevel]),""))</f>
        <v/>
      </c>
      <c r="T6" t="str">
        <f>IF(F6="","",IFERROR(_xlfn.XLOOKUP(F6,TableLibraryBarriers[Type],TableLibraryBarriers[WorkingWidth]),""))</f>
        <v/>
      </c>
      <c r="U6" t="str">
        <f>IF(F6="","",IFERROR(_xlfn.XLOOKUP(F6,TableLibraryBarriers[Type],TableLibraryBarriers[Layer]),""))</f>
        <v/>
      </c>
      <c r="V6" t="str">
        <f>IF(F6="","",IFERROR(_xlfn.XLOOKUP(F6,TableLibraryBarriers[Type],TableLibraryBarriers[TimeUnitLength(h)]),""))</f>
        <v/>
      </c>
      <c r="W6" t="str">
        <f>IF(F6="","",IFERROR(_xlfn.XLOOKUP(F6,TableLibraryBarriers[Type],TableLibraryBarriers[CostUnitLength]),""))</f>
        <v/>
      </c>
      <c r="X6" t="str">
        <f>IF(F6="","",IFERROR(_xlfn.XLOOKUP(F6,TableLibraryBarriers[Type],TableLibraryBarriers[Notes]),""))</f>
        <v/>
      </c>
      <c r="Y6" s="19"/>
      <c r="Z6" s="19"/>
    </row>
    <row r="7" spans="1:26">
      <c r="A7" t="str">
        <f t="shared" si="0"/>
        <v/>
      </c>
      <c r="C7" s="21"/>
      <c r="D7" s="21"/>
      <c r="E7" s="19"/>
      <c r="G7" s="16" t="str">
        <f>IF(BarriersTable[[#This Row],[PKStartValue]]="","",IF(C7="","",INT(C7/1000)&amp;"+"&amp;TEXT(MOD(C7,1000),"000.00")))</f>
        <v/>
      </c>
      <c r="H7" s="16" t="str">
        <f>IF(BarriersTable[[#This Row],[PKEndValue]]="","",IF(D7="","",INT(D7/1000)&amp;"+"&amp;TEXT(MOD(D7,1000),"000.00")))</f>
        <v/>
      </c>
      <c r="I7" t="str">
        <f>IF(F7="","",IFERROR(_xlfn.XLOOKUP(F7,TableLibraryBarriers[Type],TableLibraryBarriers[BarrierFamily]),""))</f>
        <v/>
      </c>
      <c r="J7" t="str">
        <f>IF(F7="","",IFERROR(_xlfn.XLOOKUP(F7,TableLibraryBarriers[Type],TableLibraryBarriers[BarrierType]),""))</f>
        <v/>
      </c>
      <c r="K7" t="str">
        <f>IF(F7="","",IFERROR(_xlfn.XLOOKUP(F7,TableLibraryBarriers[Type],TableLibraryBarriers[BlockLinear]),""))</f>
        <v/>
      </c>
      <c r="L7" t="str">
        <f>IF(F7="","",IFERROR(_xlfn.XLOOKUP(F7,TableLibraryBarriers[Type],TableLibraryBarriers[BlockPost]),""))</f>
        <v/>
      </c>
      <c r="M7" t="str">
        <f>IF(F7="","",IFERROR(_xlfn.XLOOKUP(F7,TableLibraryBarriers[Type],TableLibraryBarriers[IFCEntity]),""))</f>
        <v/>
      </c>
      <c r="N7" t="str">
        <f>IF(F7="","",IFERROR(_xlfn.XLOOKUP(F7,TableLibraryBarriers[Type],TableLibraryBarriers[Material]),""))</f>
        <v/>
      </c>
      <c r="O7" t="str">
        <f>IF(F7="","",IFERROR(_xlfn.XLOOKUP(F7,TableLibraryBarriers[Type],TableLibraryBarriers[PostSpacing]),""))</f>
        <v/>
      </c>
      <c r="P7" t="str">
        <f>IF(F7="","",IFERROR(_xlfn.XLOOKUP(F7,TableLibraryBarriers[Type],TableLibraryBarriers[ModuleLength]),""))</f>
        <v/>
      </c>
      <c r="Q7" t="str">
        <f>IF(F7="","",IFERROR(_xlfn.XLOOKUP(F7,TableLibraryBarriers[Type],TableLibraryBarriers[Height]),""))</f>
        <v/>
      </c>
      <c r="R7" t="str">
        <f>IF(F7="","",IFERROR(_xlfn.XLOOKUP(F7,TableLibraryBarriers[Type],TableLibraryBarriers[Width]),""))</f>
        <v/>
      </c>
      <c r="S7" t="str">
        <f>IF(F7="","",IFERROR(_xlfn.XLOOKUP(F7,TableLibraryBarriers[Type],TableLibraryBarriers[ContainmentLevel]),""))</f>
        <v/>
      </c>
      <c r="T7" t="str">
        <f>IF(F7="","",IFERROR(_xlfn.XLOOKUP(F7,TableLibraryBarriers[Type],TableLibraryBarriers[WorkingWidth]),""))</f>
        <v/>
      </c>
      <c r="U7" t="str">
        <f>IF(F7="","",IFERROR(_xlfn.XLOOKUP(F7,TableLibraryBarriers[Type],TableLibraryBarriers[Layer]),""))</f>
        <v/>
      </c>
      <c r="V7" t="str">
        <f>IF(F7="","",IFERROR(_xlfn.XLOOKUP(F7,TableLibraryBarriers[Type],TableLibraryBarriers[TimeUnitLength(h)]),""))</f>
        <v/>
      </c>
      <c r="W7" t="str">
        <f>IF(F7="","",IFERROR(_xlfn.XLOOKUP(F7,TableLibraryBarriers[Type],TableLibraryBarriers[CostUnitLength]),""))</f>
        <v/>
      </c>
      <c r="X7" t="str">
        <f>IF(F7="","",IFERROR(_xlfn.XLOOKUP(F7,TableLibraryBarriers[Type],TableLibraryBarriers[Notes]),""))</f>
        <v/>
      </c>
      <c r="Y7" s="19"/>
      <c r="Z7" s="19"/>
    </row>
    <row r="8" spans="1:26">
      <c r="A8" t="str">
        <f t="shared" si="0"/>
        <v/>
      </c>
      <c r="C8" s="21"/>
      <c r="D8" s="21"/>
      <c r="E8" s="19"/>
      <c r="G8" s="16" t="str">
        <f>IF(BarriersTable[[#This Row],[PKStartValue]]="","",IF(C8="","",INT(C8/1000)&amp;"+"&amp;TEXT(MOD(C8,1000),"000.00")))</f>
        <v/>
      </c>
      <c r="H8" s="16" t="str">
        <f>IF(BarriersTable[[#This Row],[PKEndValue]]="","",IF(D8="","",INT(D8/1000)&amp;"+"&amp;TEXT(MOD(D8,1000),"000.00")))</f>
        <v/>
      </c>
      <c r="I8" t="str">
        <f>IF(F8="","",IFERROR(_xlfn.XLOOKUP(F8,TableLibraryBarriers[Type],TableLibraryBarriers[BarrierFamily]),""))</f>
        <v/>
      </c>
      <c r="J8" t="str">
        <f>IF(F8="","",IFERROR(_xlfn.XLOOKUP(F8,TableLibraryBarriers[Type],TableLibraryBarriers[BarrierType]),""))</f>
        <v/>
      </c>
      <c r="K8" t="str">
        <f>IF(F8="","",IFERROR(_xlfn.XLOOKUP(F8,TableLibraryBarriers[Type],TableLibraryBarriers[BlockLinear]),""))</f>
        <v/>
      </c>
      <c r="L8" t="str">
        <f>IF(F8="","",IFERROR(_xlfn.XLOOKUP(F8,TableLibraryBarriers[Type],TableLibraryBarriers[BlockPost]),""))</f>
        <v/>
      </c>
      <c r="M8" t="str">
        <f>IF(F8="","",IFERROR(_xlfn.XLOOKUP(F8,TableLibraryBarriers[Type],TableLibraryBarriers[IFCEntity]),""))</f>
        <v/>
      </c>
      <c r="N8" t="str">
        <f>IF(F8="","",IFERROR(_xlfn.XLOOKUP(F8,TableLibraryBarriers[Type],TableLibraryBarriers[Material]),""))</f>
        <v/>
      </c>
      <c r="O8" t="str">
        <f>IF(F8="","",IFERROR(_xlfn.XLOOKUP(F8,TableLibraryBarriers[Type],TableLibraryBarriers[PostSpacing]),""))</f>
        <v/>
      </c>
      <c r="P8" t="str">
        <f>IF(F8="","",IFERROR(_xlfn.XLOOKUP(F8,TableLibraryBarriers[Type],TableLibraryBarriers[ModuleLength]),""))</f>
        <v/>
      </c>
      <c r="Q8" t="str">
        <f>IF(F8="","",IFERROR(_xlfn.XLOOKUP(F8,TableLibraryBarriers[Type],TableLibraryBarriers[Height]),""))</f>
        <v/>
      </c>
      <c r="R8" t="str">
        <f>IF(F8="","",IFERROR(_xlfn.XLOOKUP(F8,TableLibraryBarriers[Type],TableLibraryBarriers[Width]),""))</f>
        <v/>
      </c>
      <c r="S8" t="str">
        <f>IF(F8="","",IFERROR(_xlfn.XLOOKUP(F8,TableLibraryBarriers[Type],TableLibraryBarriers[ContainmentLevel]),""))</f>
        <v/>
      </c>
      <c r="T8" t="str">
        <f>IF(F8="","",IFERROR(_xlfn.XLOOKUP(F8,TableLibraryBarriers[Type],TableLibraryBarriers[WorkingWidth]),""))</f>
        <v/>
      </c>
      <c r="U8" t="str">
        <f>IF(F8="","",IFERROR(_xlfn.XLOOKUP(F8,TableLibraryBarriers[Type],TableLibraryBarriers[Layer]),""))</f>
        <v/>
      </c>
      <c r="V8" t="str">
        <f>IF(F8="","",IFERROR(_xlfn.XLOOKUP(F8,TableLibraryBarriers[Type],TableLibraryBarriers[TimeUnitLength(h)]),""))</f>
        <v/>
      </c>
      <c r="W8" t="str">
        <f>IF(F8="","",IFERROR(_xlfn.XLOOKUP(F8,TableLibraryBarriers[Type],TableLibraryBarriers[CostUnitLength]),""))</f>
        <v/>
      </c>
      <c r="X8" t="str">
        <f>IF(F8="","",IFERROR(_xlfn.XLOOKUP(F8,TableLibraryBarriers[Type],TableLibraryBarriers[Notes]),""))</f>
        <v/>
      </c>
      <c r="Y8" s="19"/>
      <c r="Z8" s="19"/>
    </row>
    <row r="9" spans="1:26">
      <c r="A9" t="str">
        <f t="shared" si="0"/>
        <v/>
      </c>
      <c r="C9" s="21"/>
      <c r="D9" s="21"/>
      <c r="E9" s="19"/>
      <c r="G9" s="16" t="str">
        <f>IF(BarriersTable[[#This Row],[PKStartValue]]="","",IF(C9="","",INT(C9/1000)&amp;"+"&amp;TEXT(MOD(C9,1000),"000.00")))</f>
        <v/>
      </c>
      <c r="H9" s="16" t="str">
        <f>IF(BarriersTable[[#This Row],[PKEndValue]]="","",IF(D9="","",INT(D9/1000)&amp;"+"&amp;TEXT(MOD(D9,1000),"000.00")))</f>
        <v/>
      </c>
      <c r="I9" t="str">
        <f>IF(F9="","",IFERROR(_xlfn.XLOOKUP(F9,TableLibraryBarriers[Type],TableLibraryBarriers[BarrierFamily]),""))</f>
        <v/>
      </c>
      <c r="J9" t="str">
        <f>IF(F9="","",IFERROR(_xlfn.XLOOKUP(F9,TableLibraryBarriers[Type],TableLibraryBarriers[BarrierType]),""))</f>
        <v/>
      </c>
      <c r="K9" t="str">
        <f>IF(F9="","",IFERROR(_xlfn.XLOOKUP(F9,TableLibraryBarriers[Type],TableLibraryBarriers[BlockLinear]),""))</f>
        <v/>
      </c>
      <c r="L9" t="str">
        <f>IF(F9="","",IFERROR(_xlfn.XLOOKUP(F9,TableLibraryBarriers[Type],TableLibraryBarriers[BlockPost]),""))</f>
        <v/>
      </c>
      <c r="M9" t="str">
        <f>IF(F9="","",IFERROR(_xlfn.XLOOKUP(F9,TableLibraryBarriers[Type],TableLibraryBarriers[IFCEntity]),""))</f>
        <v/>
      </c>
      <c r="N9" t="str">
        <f>IF(F9="","",IFERROR(_xlfn.XLOOKUP(F9,TableLibraryBarriers[Type],TableLibraryBarriers[Material]),""))</f>
        <v/>
      </c>
      <c r="O9" t="str">
        <f>IF(F9="","",IFERROR(_xlfn.XLOOKUP(F9,TableLibraryBarriers[Type],TableLibraryBarriers[PostSpacing]),""))</f>
        <v/>
      </c>
      <c r="P9" t="str">
        <f>IF(F9="","",IFERROR(_xlfn.XLOOKUP(F9,TableLibraryBarriers[Type],TableLibraryBarriers[ModuleLength]),""))</f>
        <v/>
      </c>
      <c r="Q9" t="str">
        <f>IF(F9="","",IFERROR(_xlfn.XLOOKUP(F9,TableLibraryBarriers[Type],TableLibraryBarriers[Height]),""))</f>
        <v/>
      </c>
      <c r="R9" t="str">
        <f>IF(F9="","",IFERROR(_xlfn.XLOOKUP(F9,TableLibraryBarriers[Type],TableLibraryBarriers[Width]),""))</f>
        <v/>
      </c>
      <c r="S9" t="str">
        <f>IF(F9="","",IFERROR(_xlfn.XLOOKUP(F9,TableLibraryBarriers[Type],TableLibraryBarriers[ContainmentLevel]),""))</f>
        <v/>
      </c>
      <c r="T9" t="str">
        <f>IF(F9="","",IFERROR(_xlfn.XLOOKUP(F9,TableLibraryBarriers[Type],TableLibraryBarriers[WorkingWidth]),""))</f>
        <v/>
      </c>
      <c r="U9" t="str">
        <f>IF(F9="","",IFERROR(_xlfn.XLOOKUP(F9,TableLibraryBarriers[Type],TableLibraryBarriers[Layer]),""))</f>
        <v/>
      </c>
      <c r="V9" t="str">
        <f>IF(F9="","",IFERROR(_xlfn.XLOOKUP(F9,TableLibraryBarriers[Type],TableLibraryBarriers[TimeUnitLength(h)]),""))</f>
        <v/>
      </c>
      <c r="W9" t="str">
        <f>IF(F9="","",IFERROR(_xlfn.XLOOKUP(F9,TableLibraryBarriers[Type],TableLibraryBarriers[CostUnitLength]),""))</f>
        <v/>
      </c>
      <c r="X9" t="str">
        <f>IF(F9="","",IFERROR(_xlfn.XLOOKUP(F9,TableLibraryBarriers[Type],TableLibraryBarriers[Notes]),""))</f>
        <v/>
      </c>
      <c r="Y9" s="19"/>
      <c r="Z9" s="19"/>
    </row>
    <row r="10" spans="1:26">
      <c r="A10" t="str">
        <f t="shared" si="0"/>
        <v/>
      </c>
      <c r="C10" s="21"/>
      <c r="D10" s="21"/>
      <c r="E10" s="19"/>
      <c r="G10" s="16" t="str">
        <f>IF(BarriersTable[[#This Row],[PKStartValue]]="","",IF(C10="","",INT(C10/1000)&amp;"+"&amp;TEXT(MOD(C10,1000),"000.00")))</f>
        <v/>
      </c>
      <c r="H10" s="16" t="str">
        <f>IF(BarriersTable[[#This Row],[PKEndValue]]="","",IF(D10="","",INT(D10/1000)&amp;"+"&amp;TEXT(MOD(D10,1000),"000.00")))</f>
        <v/>
      </c>
      <c r="I10" t="str">
        <f>IF(F10="","",IFERROR(_xlfn.XLOOKUP(F10,TableLibraryBarriers[Type],TableLibraryBarriers[BarrierFamily]),""))</f>
        <v/>
      </c>
      <c r="J10" t="str">
        <f>IF(F10="","",IFERROR(_xlfn.XLOOKUP(F10,TableLibraryBarriers[Type],TableLibraryBarriers[BarrierType]),""))</f>
        <v/>
      </c>
      <c r="K10" t="str">
        <f>IF(F10="","",IFERROR(_xlfn.XLOOKUP(F10,TableLibraryBarriers[Type],TableLibraryBarriers[BlockLinear]),""))</f>
        <v/>
      </c>
      <c r="L10" t="str">
        <f>IF(F10="","",IFERROR(_xlfn.XLOOKUP(F10,TableLibraryBarriers[Type],TableLibraryBarriers[BlockPost]),""))</f>
        <v/>
      </c>
      <c r="M10" t="str">
        <f>IF(F10="","",IFERROR(_xlfn.XLOOKUP(F10,TableLibraryBarriers[Type],TableLibraryBarriers[IFCEntity]),""))</f>
        <v/>
      </c>
      <c r="N10" t="str">
        <f>IF(F10="","",IFERROR(_xlfn.XLOOKUP(F10,TableLibraryBarriers[Type],TableLibraryBarriers[Material]),""))</f>
        <v/>
      </c>
      <c r="O10" t="str">
        <f>IF(F10="","",IFERROR(_xlfn.XLOOKUP(F10,TableLibraryBarriers[Type],TableLibraryBarriers[PostSpacing]),""))</f>
        <v/>
      </c>
      <c r="P10" t="str">
        <f>IF(F10="","",IFERROR(_xlfn.XLOOKUP(F10,TableLibraryBarriers[Type],TableLibraryBarriers[ModuleLength]),""))</f>
        <v/>
      </c>
      <c r="Q10" t="str">
        <f>IF(F10="","",IFERROR(_xlfn.XLOOKUP(F10,TableLibraryBarriers[Type],TableLibraryBarriers[Height]),""))</f>
        <v/>
      </c>
      <c r="R10" t="str">
        <f>IF(F10="","",IFERROR(_xlfn.XLOOKUP(F10,TableLibraryBarriers[Type],TableLibraryBarriers[Width]),""))</f>
        <v/>
      </c>
      <c r="S10" t="str">
        <f>IF(F10="","",IFERROR(_xlfn.XLOOKUP(F10,TableLibraryBarriers[Type],TableLibraryBarriers[ContainmentLevel]),""))</f>
        <v/>
      </c>
      <c r="T10" t="str">
        <f>IF(F10="","",IFERROR(_xlfn.XLOOKUP(F10,TableLibraryBarriers[Type],TableLibraryBarriers[WorkingWidth]),""))</f>
        <v/>
      </c>
      <c r="U10" t="str">
        <f>IF(F10="","",IFERROR(_xlfn.XLOOKUP(F10,TableLibraryBarriers[Type],TableLibraryBarriers[Layer]),""))</f>
        <v/>
      </c>
      <c r="V10" t="str">
        <f>IF(F10="","",IFERROR(_xlfn.XLOOKUP(F10,TableLibraryBarriers[Type],TableLibraryBarriers[TimeUnitLength(h)]),""))</f>
        <v/>
      </c>
      <c r="W10" t="str">
        <f>IF(F10="","",IFERROR(_xlfn.XLOOKUP(F10,TableLibraryBarriers[Type],TableLibraryBarriers[CostUnitLength]),""))</f>
        <v/>
      </c>
      <c r="X10" t="str">
        <f>IF(F10="","",IFERROR(_xlfn.XLOOKUP(F10,TableLibraryBarriers[Type],TableLibraryBarriers[Notes]),""))</f>
        <v/>
      </c>
      <c r="Y10" s="19"/>
      <c r="Z10" s="19"/>
    </row>
    <row r="11" spans="1:26">
      <c r="A11" t="str">
        <f t="shared" si="0"/>
        <v/>
      </c>
      <c r="C11" s="21"/>
      <c r="D11" s="21"/>
      <c r="E11" s="19"/>
      <c r="G11" s="16" t="str">
        <f>IF(BarriersTable[[#This Row],[PKStartValue]]="","",IF(C11="","",INT(C11/1000)&amp;"+"&amp;TEXT(MOD(C11,1000),"000.00")))</f>
        <v/>
      </c>
      <c r="H11" s="16" t="str">
        <f>IF(BarriersTable[[#This Row],[PKEndValue]]="","",IF(D11="","",INT(D11/1000)&amp;"+"&amp;TEXT(MOD(D11,1000),"000.00")))</f>
        <v/>
      </c>
      <c r="I11" t="str">
        <f>IF(F11="","",IFERROR(_xlfn.XLOOKUP(F11,TableLibraryBarriers[Type],TableLibraryBarriers[BarrierFamily]),""))</f>
        <v/>
      </c>
      <c r="J11" t="str">
        <f>IF(F11="","",IFERROR(_xlfn.XLOOKUP(F11,TableLibraryBarriers[Type],TableLibraryBarriers[BarrierType]),""))</f>
        <v/>
      </c>
      <c r="K11" t="str">
        <f>IF(F11="","",IFERROR(_xlfn.XLOOKUP(F11,TableLibraryBarriers[Type],TableLibraryBarriers[BlockLinear]),""))</f>
        <v/>
      </c>
      <c r="L11" t="str">
        <f>IF(F11="","",IFERROR(_xlfn.XLOOKUP(F11,TableLibraryBarriers[Type],TableLibraryBarriers[BlockPost]),""))</f>
        <v/>
      </c>
      <c r="M11" t="str">
        <f>IF(F11="","",IFERROR(_xlfn.XLOOKUP(F11,TableLibraryBarriers[Type],TableLibraryBarriers[IFCEntity]),""))</f>
        <v/>
      </c>
      <c r="N11" t="str">
        <f>IF(F11="","",IFERROR(_xlfn.XLOOKUP(F11,TableLibraryBarriers[Type],TableLibraryBarriers[Material]),""))</f>
        <v/>
      </c>
      <c r="O11" t="str">
        <f>IF(F11="","",IFERROR(_xlfn.XLOOKUP(F11,TableLibraryBarriers[Type],TableLibraryBarriers[PostSpacing]),""))</f>
        <v/>
      </c>
      <c r="P11" t="str">
        <f>IF(F11="","",IFERROR(_xlfn.XLOOKUP(F11,TableLibraryBarriers[Type],TableLibraryBarriers[ModuleLength]),""))</f>
        <v/>
      </c>
      <c r="Q11" t="str">
        <f>IF(F11="","",IFERROR(_xlfn.XLOOKUP(F11,TableLibraryBarriers[Type],TableLibraryBarriers[Height]),""))</f>
        <v/>
      </c>
      <c r="R11" t="str">
        <f>IF(F11="","",IFERROR(_xlfn.XLOOKUP(F11,TableLibraryBarriers[Type],TableLibraryBarriers[Width]),""))</f>
        <v/>
      </c>
      <c r="S11" t="str">
        <f>IF(F11="","",IFERROR(_xlfn.XLOOKUP(F11,TableLibraryBarriers[Type],TableLibraryBarriers[ContainmentLevel]),""))</f>
        <v/>
      </c>
      <c r="T11" t="str">
        <f>IF(F11="","",IFERROR(_xlfn.XLOOKUP(F11,TableLibraryBarriers[Type],TableLibraryBarriers[WorkingWidth]),""))</f>
        <v/>
      </c>
      <c r="U11" t="str">
        <f>IF(F11="","",IFERROR(_xlfn.XLOOKUP(F11,TableLibraryBarriers[Type],TableLibraryBarriers[Layer]),""))</f>
        <v/>
      </c>
      <c r="V11" t="str">
        <f>IF(F11="","",IFERROR(_xlfn.XLOOKUP(F11,TableLibraryBarriers[Type],TableLibraryBarriers[TimeUnitLength(h)]),""))</f>
        <v/>
      </c>
      <c r="W11" t="str">
        <f>IF(F11="","",IFERROR(_xlfn.XLOOKUP(F11,TableLibraryBarriers[Type],TableLibraryBarriers[CostUnitLength]),""))</f>
        <v/>
      </c>
      <c r="X11" t="str">
        <f>IF(F11="","",IFERROR(_xlfn.XLOOKUP(F11,TableLibraryBarriers[Type],TableLibraryBarriers[Notes]),""))</f>
        <v/>
      </c>
      <c r="Y11" s="19"/>
      <c r="Z11" s="19"/>
    </row>
    <row r="12" spans="1:26">
      <c r="A12" t="str">
        <f t="shared" si="0"/>
        <v/>
      </c>
      <c r="C12" s="21"/>
      <c r="D12" s="21"/>
      <c r="E12" s="19"/>
      <c r="G12" s="16" t="str">
        <f>IF(BarriersTable[[#This Row],[PKStartValue]]="","",IF(C12="","",INT(C12/1000)&amp;"+"&amp;TEXT(MOD(C12,1000),"000.00")))</f>
        <v/>
      </c>
      <c r="H12" s="16" t="str">
        <f>IF(BarriersTable[[#This Row],[PKEndValue]]="","",IF(D12="","",INT(D12/1000)&amp;"+"&amp;TEXT(MOD(D12,1000),"000.00")))</f>
        <v/>
      </c>
      <c r="I12" t="str">
        <f>IF(F12="","",IFERROR(_xlfn.XLOOKUP(F12,TableLibraryBarriers[Type],TableLibraryBarriers[BarrierFamily]),""))</f>
        <v/>
      </c>
      <c r="J12" t="str">
        <f>IF(F12="","",IFERROR(_xlfn.XLOOKUP(F12,TableLibraryBarriers[Type],TableLibraryBarriers[BarrierType]),""))</f>
        <v/>
      </c>
      <c r="K12" t="str">
        <f>IF(F12="","",IFERROR(_xlfn.XLOOKUP(F12,TableLibraryBarriers[Type],TableLibraryBarriers[BlockLinear]),""))</f>
        <v/>
      </c>
      <c r="L12" t="str">
        <f>IF(F12="","",IFERROR(_xlfn.XLOOKUP(F12,TableLibraryBarriers[Type],TableLibraryBarriers[BlockPost]),""))</f>
        <v/>
      </c>
      <c r="M12" t="str">
        <f>IF(F12="","",IFERROR(_xlfn.XLOOKUP(F12,TableLibraryBarriers[Type],TableLibraryBarriers[IFCEntity]),""))</f>
        <v/>
      </c>
      <c r="N12" t="str">
        <f>IF(F12="","",IFERROR(_xlfn.XLOOKUP(F12,TableLibraryBarriers[Type],TableLibraryBarriers[Material]),""))</f>
        <v/>
      </c>
      <c r="O12" t="str">
        <f>IF(F12="","",IFERROR(_xlfn.XLOOKUP(F12,TableLibraryBarriers[Type],TableLibraryBarriers[PostSpacing]),""))</f>
        <v/>
      </c>
      <c r="P12" t="str">
        <f>IF(F12="","",IFERROR(_xlfn.XLOOKUP(F12,TableLibraryBarriers[Type],TableLibraryBarriers[ModuleLength]),""))</f>
        <v/>
      </c>
      <c r="Q12" t="str">
        <f>IF(F12="","",IFERROR(_xlfn.XLOOKUP(F12,TableLibraryBarriers[Type],TableLibraryBarriers[Height]),""))</f>
        <v/>
      </c>
      <c r="R12" t="str">
        <f>IF(F12="","",IFERROR(_xlfn.XLOOKUP(F12,TableLibraryBarriers[Type],TableLibraryBarriers[Width]),""))</f>
        <v/>
      </c>
      <c r="S12" t="str">
        <f>IF(F12="","",IFERROR(_xlfn.XLOOKUP(F12,TableLibraryBarriers[Type],TableLibraryBarriers[ContainmentLevel]),""))</f>
        <v/>
      </c>
      <c r="T12" t="str">
        <f>IF(F12="","",IFERROR(_xlfn.XLOOKUP(F12,TableLibraryBarriers[Type],TableLibraryBarriers[WorkingWidth]),""))</f>
        <v/>
      </c>
      <c r="U12" t="str">
        <f>IF(F12="","",IFERROR(_xlfn.XLOOKUP(F12,TableLibraryBarriers[Type],TableLibraryBarriers[Layer]),""))</f>
        <v/>
      </c>
      <c r="V12" t="str">
        <f>IF(F12="","",IFERROR(_xlfn.XLOOKUP(F12,TableLibraryBarriers[Type],TableLibraryBarriers[TimeUnitLength(h)]),""))</f>
        <v/>
      </c>
      <c r="W12" t="str">
        <f>IF(F12="","",IFERROR(_xlfn.XLOOKUP(F12,TableLibraryBarriers[Type],TableLibraryBarriers[CostUnitLength]),""))</f>
        <v/>
      </c>
      <c r="X12" t="str">
        <f>IF(F12="","",IFERROR(_xlfn.XLOOKUP(F12,TableLibraryBarriers[Type],TableLibraryBarriers[Notes]),""))</f>
        <v/>
      </c>
      <c r="Y12" s="19"/>
      <c r="Z12" s="19"/>
    </row>
    <row r="13" spans="1:26">
      <c r="A13" t="str">
        <f t="shared" si="0"/>
        <v/>
      </c>
      <c r="C13" s="21"/>
      <c r="D13" s="21"/>
      <c r="E13" s="19"/>
      <c r="G13" s="16" t="str">
        <f>IF(BarriersTable[[#This Row],[PKStartValue]]="","",IF(C13="","",INT(C13/1000)&amp;"+"&amp;TEXT(MOD(C13,1000),"000.00")))</f>
        <v/>
      </c>
      <c r="H13" s="16" t="str">
        <f>IF(BarriersTable[[#This Row],[PKEndValue]]="","",IF(D13="","",INT(D13/1000)&amp;"+"&amp;TEXT(MOD(D13,1000),"000.00")))</f>
        <v/>
      </c>
      <c r="I13" t="str">
        <f>IF(F13="","",IFERROR(_xlfn.XLOOKUP(F13,TableLibraryBarriers[Type],TableLibraryBarriers[BarrierFamily]),""))</f>
        <v/>
      </c>
      <c r="J13" t="str">
        <f>IF(F13="","",IFERROR(_xlfn.XLOOKUP(F13,TableLibraryBarriers[Type],TableLibraryBarriers[BarrierType]),""))</f>
        <v/>
      </c>
      <c r="K13" t="str">
        <f>IF(F13="","",IFERROR(_xlfn.XLOOKUP(F13,TableLibraryBarriers[Type],TableLibraryBarriers[BlockLinear]),""))</f>
        <v/>
      </c>
      <c r="L13" t="str">
        <f>IF(F13="","",IFERROR(_xlfn.XLOOKUP(F13,TableLibraryBarriers[Type],TableLibraryBarriers[BlockPost]),""))</f>
        <v/>
      </c>
      <c r="M13" t="str">
        <f>IF(F13="","",IFERROR(_xlfn.XLOOKUP(F13,TableLibraryBarriers[Type],TableLibraryBarriers[IFCEntity]),""))</f>
        <v/>
      </c>
      <c r="N13" t="str">
        <f>IF(F13="","",IFERROR(_xlfn.XLOOKUP(F13,TableLibraryBarriers[Type],TableLibraryBarriers[Material]),""))</f>
        <v/>
      </c>
      <c r="O13" t="str">
        <f>IF(F13="","",IFERROR(_xlfn.XLOOKUP(F13,TableLibraryBarriers[Type],TableLibraryBarriers[PostSpacing]),""))</f>
        <v/>
      </c>
      <c r="P13" t="str">
        <f>IF(F13="","",IFERROR(_xlfn.XLOOKUP(F13,TableLibraryBarriers[Type],TableLibraryBarriers[ModuleLength]),""))</f>
        <v/>
      </c>
      <c r="Q13" t="str">
        <f>IF(F13="","",IFERROR(_xlfn.XLOOKUP(F13,TableLibraryBarriers[Type],TableLibraryBarriers[Height]),""))</f>
        <v/>
      </c>
      <c r="R13" t="str">
        <f>IF(F13="","",IFERROR(_xlfn.XLOOKUP(F13,TableLibraryBarriers[Type],TableLibraryBarriers[Width]),""))</f>
        <v/>
      </c>
      <c r="S13" t="str">
        <f>IF(F13="","",IFERROR(_xlfn.XLOOKUP(F13,TableLibraryBarriers[Type],TableLibraryBarriers[ContainmentLevel]),""))</f>
        <v/>
      </c>
      <c r="T13" t="str">
        <f>IF(F13="","",IFERROR(_xlfn.XLOOKUP(F13,TableLibraryBarriers[Type],TableLibraryBarriers[WorkingWidth]),""))</f>
        <v/>
      </c>
      <c r="U13" t="str">
        <f>IF(F13="","",IFERROR(_xlfn.XLOOKUP(F13,TableLibraryBarriers[Type],TableLibraryBarriers[Layer]),""))</f>
        <v/>
      </c>
      <c r="V13" t="str">
        <f>IF(F13="","",IFERROR(_xlfn.XLOOKUP(F13,TableLibraryBarriers[Type],TableLibraryBarriers[TimeUnitLength(h)]),""))</f>
        <v/>
      </c>
      <c r="W13" t="str">
        <f>IF(F13="","",IFERROR(_xlfn.XLOOKUP(F13,TableLibraryBarriers[Type],TableLibraryBarriers[CostUnitLength]),""))</f>
        <v/>
      </c>
      <c r="X13" t="str">
        <f>IF(F13="","",IFERROR(_xlfn.XLOOKUP(F13,TableLibraryBarriers[Type],TableLibraryBarriers[Notes]),""))</f>
        <v/>
      </c>
      <c r="Y13" s="19"/>
      <c r="Z13" s="19"/>
    </row>
    <row r="14" spans="1:26">
      <c r="A14" t="str">
        <f t="shared" si="0"/>
        <v/>
      </c>
      <c r="C14" s="21"/>
      <c r="D14" s="21"/>
      <c r="E14" s="19"/>
      <c r="G14" s="16" t="str">
        <f>IF(BarriersTable[[#This Row],[PKStartValue]]="","",IF(C14="","",INT(C14/1000)&amp;"+"&amp;TEXT(MOD(C14,1000),"000.00")))</f>
        <v/>
      </c>
      <c r="H14" s="16" t="str">
        <f>IF(BarriersTable[[#This Row],[PKEndValue]]="","",IF(D14="","",INT(D14/1000)&amp;"+"&amp;TEXT(MOD(D14,1000),"000.00")))</f>
        <v/>
      </c>
      <c r="I14" t="str">
        <f>IF(F14="","",IFERROR(_xlfn.XLOOKUP(F14,TableLibraryBarriers[Type],TableLibraryBarriers[BarrierFamily]),""))</f>
        <v/>
      </c>
      <c r="J14" t="str">
        <f>IF(F14="","",IFERROR(_xlfn.XLOOKUP(F14,TableLibraryBarriers[Type],TableLibraryBarriers[BarrierType]),""))</f>
        <v/>
      </c>
      <c r="K14" t="str">
        <f>IF(F14="","",IFERROR(_xlfn.XLOOKUP(F14,TableLibraryBarriers[Type],TableLibraryBarriers[BlockLinear]),""))</f>
        <v/>
      </c>
      <c r="L14" t="str">
        <f>IF(F14="","",IFERROR(_xlfn.XLOOKUP(F14,TableLibraryBarriers[Type],TableLibraryBarriers[BlockPost]),""))</f>
        <v/>
      </c>
      <c r="M14" t="str">
        <f>IF(F14="","",IFERROR(_xlfn.XLOOKUP(F14,TableLibraryBarriers[Type],TableLibraryBarriers[IFCEntity]),""))</f>
        <v/>
      </c>
      <c r="N14" t="str">
        <f>IF(F14="","",IFERROR(_xlfn.XLOOKUP(F14,TableLibraryBarriers[Type],TableLibraryBarriers[Material]),""))</f>
        <v/>
      </c>
      <c r="O14" t="str">
        <f>IF(F14="","",IFERROR(_xlfn.XLOOKUP(F14,TableLibraryBarriers[Type],TableLibraryBarriers[PostSpacing]),""))</f>
        <v/>
      </c>
      <c r="P14" t="str">
        <f>IF(F14="","",IFERROR(_xlfn.XLOOKUP(F14,TableLibraryBarriers[Type],TableLibraryBarriers[ModuleLength]),""))</f>
        <v/>
      </c>
      <c r="Q14" t="str">
        <f>IF(F14="","",IFERROR(_xlfn.XLOOKUP(F14,TableLibraryBarriers[Type],TableLibraryBarriers[Height]),""))</f>
        <v/>
      </c>
      <c r="R14" t="str">
        <f>IF(F14="","",IFERROR(_xlfn.XLOOKUP(F14,TableLibraryBarriers[Type],TableLibraryBarriers[Width]),""))</f>
        <v/>
      </c>
      <c r="S14" t="str">
        <f>IF(F14="","",IFERROR(_xlfn.XLOOKUP(F14,TableLibraryBarriers[Type],TableLibraryBarriers[ContainmentLevel]),""))</f>
        <v/>
      </c>
      <c r="T14" t="str">
        <f>IF(F14="","",IFERROR(_xlfn.XLOOKUP(F14,TableLibraryBarriers[Type],TableLibraryBarriers[WorkingWidth]),""))</f>
        <v/>
      </c>
      <c r="U14" t="str">
        <f>IF(F14="","",IFERROR(_xlfn.XLOOKUP(F14,TableLibraryBarriers[Type],TableLibraryBarriers[Layer]),""))</f>
        <v/>
      </c>
      <c r="V14" t="str">
        <f>IF(F14="","",IFERROR(_xlfn.XLOOKUP(F14,TableLibraryBarriers[Type],TableLibraryBarriers[TimeUnitLength(h)]),""))</f>
        <v/>
      </c>
      <c r="W14" t="str">
        <f>IF(F14="","",IFERROR(_xlfn.XLOOKUP(F14,TableLibraryBarriers[Type],TableLibraryBarriers[CostUnitLength]),""))</f>
        <v/>
      </c>
      <c r="X14" t="str">
        <f>IF(F14="","",IFERROR(_xlfn.XLOOKUP(F14,TableLibraryBarriers[Type],TableLibraryBarriers[Notes]),""))</f>
        <v/>
      </c>
      <c r="Y14" s="19"/>
      <c r="Z14" s="19"/>
    </row>
    <row r="15" spans="1:26">
      <c r="A15" t="str">
        <f t="shared" si="0"/>
        <v/>
      </c>
      <c r="C15" s="21"/>
      <c r="D15" s="21"/>
      <c r="E15" s="19"/>
      <c r="G15" s="16" t="str">
        <f>IF(BarriersTable[[#This Row],[PKStartValue]]="","",IF(C15="","",INT(C15/1000)&amp;"+"&amp;TEXT(MOD(C15,1000),"000.00")))</f>
        <v/>
      </c>
      <c r="H15" s="16" t="str">
        <f>IF(BarriersTable[[#This Row],[PKEndValue]]="","",IF(D15="","",INT(D15/1000)&amp;"+"&amp;TEXT(MOD(D15,1000),"000.00")))</f>
        <v/>
      </c>
      <c r="I15" t="str">
        <f>IF(F15="","",IFERROR(_xlfn.XLOOKUP(F15,TableLibraryBarriers[Type],TableLibraryBarriers[BarrierFamily]),""))</f>
        <v/>
      </c>
      <c r="J15" t="str">
        <f>IF(F15="","",IFERROR(_xlfn.XLOOKUP(F15,TableLibraryBarriers[Type],TableLibraryBarriers[BarrierType]),""))</f>
        <v/>
      </c>
      <c r="K15" t="str">
        <f>IF(F15="","",IFERROR(_xlfn.XLOOKUP(F15,TableLibraryBarriers[Type],TableLibraryBarriers[BlockLinear]),""))</f>
        <v/>
      </c>
      <c r="L15" t="str">
        <f>IF(F15="","",IFERROR(_xlfn.XLOOKUP(F15,TableLibraryBarriers[Type],TableLibraryBarriers[BlockPost]),""))</f>
        <v/>
      </c>
      <c r="M15" t="str">
        <f>IF(F15="","",IFERROR(_xlfn.XLOOKUP(F15,TableLibraryBarriers[Type],TableLibraryBarriers[IFCEntity]),""))</f>
        <v/>
      </c>
      <c r="N15" t="str">
        <f>IF(F15="","",IFERROR(_xlfn.XLOOKUP(F15,TableLibraryBarriers[Type],TableLibraryBarriers[Material]),""))</f>
        <v/>
      </c>
      <c r="O15" t="str">
        <f>IF(F15="","",IFERROR(_xlfn.XLOOKUP(F15,TableLibraryBarriers[Type],TableLibraryBarriers[PostSpacing]),""))</f>
        <v/>
      </c>
      <c r="P15" t="str">
        <f>IF(F15="","",IFERROR(_xlfn.XLOOKUP(F15,TableLibraryBarriers[Type],TableLibraryBarriers[ModuleLength]),""))</f>
        <v/>
      </c>
      <c r="Q15" t="str">
        <f>IF(F15="","",IFERROR(_xlfn.XLOOKUP(F15,TableLibraryBarriers[Type],TableLibraryBarriers[Height]),""))</f>
        <v/>
      </c>
      <c r="R15" t="str">
        <f>IF(F15="","",IFERROR(_xlfn.XLOOKUP(F15,TableLibraryBarriers[Type],TableLibraryBarriers[Width]),""))</f>
        <v/>
      </c>
      <c r="S15" t="str">
        <f>IF(F15="","",IFERROR(_xlfn.XLOOKUP(F15,TableLibraryBarriers[Type],TableLibraryBarriers[ContainmentLevel]),""))</f>
        <v/>
      </c>
      <c r="T15" t="str">
        <f>IF(F15="","",IFERROR(_xlfn.XLOOKUP(F15,TableLibraryBarriers[Type],TableLibraryBarriers[WorkingWidth]),""))</f>
        <v/>
      </c>
      <c r="U15" t="str">
        <f>IF(F15="","",IFERROR(_xlfn.XLOOKUP(F15,TableLibraryBarriers[Type],TableLibraryBarriers[Layer]),""))</f>
        <v/>
      </c>
      <c r="V15" t="str">
        <f>IF(F15="","",IFERROR(_xlfn.XLOOKUP(F15,TableLibraryBarriers[Type],TableLibraryBarriers[TimeUnitLength(h)]),""))</f>
        <v/>
      </c>
      <c r="W15" t="str">
        <f>IF(F15="","",IFERROR(_xlfn.XLOOKUP(F15,TableLibraryBarriers[Type],TableLibraryBarriers[CostUnitLength]),""))</f>
        <v/>
      </c>
      <c r="X15" t="str">
        <f>IF(F15="","",IFERROR(_xlfn.XLOOKUP(F15,TableLibraryBarriers[Type],TableLibraryBarriers[Notes]),""))</f>
        <v/>
      </c>
      <c r="Y15" s="19"/>
      <c r="Z15" s="19"/>
    </row>
    <row r="16" spans="1:26">
      <c r="A16" t="str">
        <f t="shared" si="0"/>
        <v/>
      </c>
      <c r="C16" s="21"/>
      <c r="D16" s="21"/>
      <c r="E16" s="19"/>
      <c r="G16" s="16" t="str">
        <f>IF(BarriersTable[[#This Row],[PKStartValue]]="","",IF(C16="","",INT(C16/1000)&amp;"+"&amp;TEXT(MOD(C16,1000),"000.00")))</f>
        <v/>
      </c>
      <c r="H16" s="16" t="str">
        <f>IF(BarriersTable[[#This Row],[PKEndValue]]="","",IF(D16="","",INT(D16/1000)&amp;"+"&amp;TEXT(MOD(D16,1000),"000.00")))</f>
        <v/>
      </c>
      <c r="I16" t="str">
        <f>IF(F16="","",IFERROR(_xlfn.XLOOKUP(F16,TableLibraryBarriers[Type],TableLibraryBarriers[BarrierFamily]),""))</f>
        <v/>
      </c>
      <c r="J16" t="str">
        <f>IF(F16="","",IFERROR(_xlfn.XLOOKUP(F16,TableLibraryBarriers[Type],TableLibraryBarriers[BarrierType]),""))</f>
        <v/>
      </c>
      <c r="K16" t="str">
        <f>IF(F16="","",IFERROR(_xlfn.XLOOKUP(F16,TableLibraryBarriers[Type],TableLibraryBarriers[BlockLinear]),""))</f>
        <v/>
      </c>
      <c r="L16" t="str">
        <f>IF(F16="","",IFERROR(_xlfn.XLOOKUP(F16,TableLibraryBarriers[Type],TableLibraryBarriers[BlockPost]),""))</f>
        <v/>
      </c>
      <c r="M16" t="str">
        <f>IF(F16="","",IFERROR(_xlfn.XLOOKUP(F16,TableLibraryBarriers[Type],TableLibraryBarriers[IFCEntity]),""))</f>
        <v/>
      </c>
      <c r="N16" t="str">
        <f>IF(F16="","",IFERROR(_xlfn.XLOOKUP(F16,TableLibraryBarriers[Type],TableLibraryBarriers[Material]),""))</f>
        <v/>
      </c>
      <c r="O16" t="str">
        <f>IF(F16="","",IFERROR(_xlfn.XLOOKUP(F16,TableLibraryBarriers[Type],TableLibraryBarriers[PostSpacing]),""))</f>
        <v/>
      </c>
      <c r="P16" t="str">
        <f>IF(F16="","",IFERROR(_xlfn.XLOOKUP(F16,TableLibraryBarriers[Type],TableLibraryBarriers[ModuleLength]),""))</f>
        <v/>
      </c>
      <c r="Q16" t="str">
        <f>IF(F16="","",IFERROR(_xlfn.XLOOKUP(F16,TableLibraryBarriers[Type],TableLibraryBarriers[Height]),""))</f>
        <v/>
      </c>
      <c r="R16" t="str">
        <f>IF(F16="","",IFERROR(_xlfn.XLOOKUP(F16,TableLibraryBarriers[Type],TableLibraryBarriers[Width]),""))</f>
        <v/>
      </c>
      <c r="S16" t="str">
        <f>IF(F16="","",IFERROR(_xlfn.XLOOKUP(F16,TableLibraryBarriers[Type],TableLibraryBarriers[ContainmentLevel]),""))</f>
        <v/>
      </c>
      <c r="T16" t="str">
        <f>IF(F16="","",IFERROR(_xlfn.XLOOKUP(F16,TableLibraryBarriers[Type],TableLibraryBarriers[WorkingWidth]),""))</f>
        <v/>
      </c>
      <c r="U16" t="str">
        <f>IF(F16="","",IFERROR(_xlfn.XLOOKUP(F16,TableLibraryBarriers[Type],TableLibraryBarriers[Layer]),""))</f>
        <v/>
      </c>
      <c r="V16" t="str">
        <f>IF(F16="","",IFERROR(_xlfn.XLOOKUP(F16,TableLibraryBarriers[Type],TableLibraryBarriers[TimeUnitLength(h)]),""))</f>
        <v/>
      </c>
      <c r="W16" t="str">
        <f>IF(F16="","",IFERROR(_xlfn.XLOOKUP(F16,TableLibraryBarriers[Type],TableLibraryBarriers[CostUnitLength]),""))</f>
        <v/>
      </c>
      <c r="X16" t="str">
        <f>IF(F16="","",IFERROR(_xlfn.XLOOKUP(F16,TableLibraryBarriers[Type],TableLibraryBarriers[Notes]),""))</f>
        <v/>
      </c>
      <c r="Y16" s="19"/>
      <c r="Z16" s="19"/>
    </row>
    <row r="17" spans="1:26">
      <c r="A17" t="str">
        <f t="shared" si="0"/>
        <v/>
      </c>
      <c r="C17" s="21"/>
      <c r="D17" s="21"/>
      <c r="E17" s="19"/>
      <c r="G17" s="16" t="str">
        <f>IF(BarriersTable[[#This Row],[PKStartValue]]="","",IF(C17="","",INT(C17/1000)&amp;"+"&amp;TEXT(MOD(C17,1000),"000.00")))</f>
        <v/>
      </c>
      <c r="H17" s="16" t="str">
        <f>IF(BarriersTable[[#This Row],[PKEndValue]]="","",IF(D17="","",INT(D17/1000)&amp;"+"&amp;TEXT(MOD(D17,1000),"000.00")))</f>
        <v/>
      </c>
      <c r="I17" t="str">
        <f>IF(F17="","",IFERROR(_xlfn.XLOOKUP(F17,TableLibraryBarriers[Type],TableLibraryBarriers[BarrierFamily]),""))</f>
        <v/>
      </c>
      <c r="J17" t="str">
        <f>IF(F17="","",IFERROR(_xlfn.XLOOKUP(F17,TableLibraryBarriers[Type],TableLibraryBarriers[BarrierType]),""))</f>
        <v/>
      </c>
      <c r="K17" t="str">
        <f>IF(F17="","",IFERROR(_xlfn.XLOOKUP(F17,TableLibraryBarriers[Type],TableLibraryBarriers[BlockLinear]),""))</f>
        <v/>
      </c>
      <c r="L17" t="str">
        <f>IF(F17="","",IFERROR(_xlfn.XLOOKUP(F17,TableLibraryBarriers[Type],TableLibraryBarriers[BlockPost]),""))</f>
        <v/>
      </c>
      <c r="M17" t="str">
        <f>IF(F17="","",IFERROR(_xlfn.XLOOKUP(F17,TableLibraryBarriers[Type],TableLibraryBarriers[IFCEntity]),""))</f>
        <v/>
      </c>
      <c r="N17" t="str">
        <f>IF(F17="","",IFERROR(_xlfn.XLOOKUP(F17,TableLibraryBarriers[Type],TableLibraryBarriers[Material]),""))</f>
        <v/>
      </c>
      <c r="O17" t="str">
        <f>IF(F17="","",IFERROR(_xlfn.XLOOKUP(F17,TableLibraryBarriers[Type],TableLibraryBarriers[PostSpacing]),""))</f>
        <v/>
      </c>
      <c r="P17" t="str">
        <f>IF(F17="","",IFERROR(_xlfn.XLOOKUP(F17,TableLibraryBarriers[Type],TableLibraryBarriers[ModuleLength]),""))</f>
        <v/>
      </c>
      <c r="Q17" t="str">
        <f>IF(F17="","",IFERROR(_xlfn.XLOOKUP(F17,TableLibraryBarriers[Type],TableLibraryBarriers[Height]),""))</f>
        <v/>
      </c>
      <c r="R17" t="str">
        <f>IF(F17="","",IFERROR(_xlfn.XLOOKUP(F17,TableLibraryBarriers[Type],TableLibraryBarriers[Width]),""))</f>
        <v/>
      </c>
      <c r="S17" t="str">
        <f>IF(F17="","",IFERROR(_xlfn.XLOOKUP(F17,TableLibraryBarriers[Type],TableLibraryBarriers[ContainmentLevel]),""))</f>
        <v/>
      </c>
      <c r="T17" t="str">
        <f>IF(F17="","",IFERROR(_xlfn.XLOOKUP(F17,TableLibraryBarriers[Type],TableLibraryBarriers[WorkingWidth]),""))</f>
        <v/>
      </c>
      <c r="U17" t="str">
        <f>IF(F17="","",IFERROR(_xlfn.XLOOKUP(F17,TableLibraryBarriers[Type],TableLibraryBarriers[Layer]),""))</f>
        <v/>
      </c>
      <c r="V17" t="str">
        <f>IF(F17="","",IFERROR(_xlfn.XLOOKUP(F17,TableLibraryBarriers[Type],TableLibraryBarriers[TimeUnitLength(h)]),""))</f>
        <v/>
      </c>
      <c r="W17" t="str">
        <f>IF(F17="","",IFERROR(_xlfn.XLOOKUP(F17,TableLibraryBarriers[Type],TableLibraryBarriers[CostUnitLength]),""))</f>
        <v/>
      </c>
      <c r="X17" t="str">
        <f>IF(F17="","",IFERROR(_xlfn.XLOOKUP(F17,TableLibraryBarriers[Type],TableLibraryBarriers[Notes]),""))</f>
        <v/>
      </c>
      <c r="Y17" s="19"/>
      <c r="Z17" s="19"/>
    </row>
    <row r="18" spans="1:26">
      <c r="A18" t="str">
        <f t="shared" si="0"/>
        <v/>
      </c>
      <c r="C18" s="21"/>
      <c r="D18" s="21"/>
      <c r="E18" s="19"/>
      <c r="G18" s="16" t="str">
        <f>IF(BarriersTable[[#This Row],[PKStartValue]]="","",IF(C18="","",INT(C18/1000)&amp;"+"&amp;TEXT(MOD(C18,1000),"000.00")))</f>
        <v/>
      </c>
      <c r="H18" s="16" t="str">
        <f>IF(BarriersTable[[#This Row],[PKEndValue]]="","",IF(D18="","",INT(D18/1000)&amp;"+"&amp;TEXT(MOD(D18,1000),"000.00")))</f>
        <v/>
      </c>
      <c r="I18" t="str">
        <f>IF(F18="","",IFERROR(_xlfn.XLOOKUP(F18,TableLibraryBarriers[Type],TableLibraryBarriers[BarrierFamily]),""))</f>
        <v/>
      </c>
      <c r="J18" t="str">
        <f>IF(F18="","",IFERROR(_xlfn.XLOOKUP(F18,TableLibraryBarriers[Type],TableLibraryBarriers[BarrierType]),""))</f>
        <v/>
      </c>
      <c r="K18" t="str">
        <f>IF(F18="","",IFERROR(_xlfn.XLOOKUP(F18,TableLibraryBarriers[Type],TableLibraryBarriers[BlockLinear]),""))</f>
        <v/>
      </c>
      <c r="L18" t="str">
        <f>IF(F18="","",IFERROR(_xlfn.XLOOKUP(F18,TableLibraryBarriers[Type],TableLibraryBarriers[BlockPost]),""))</f>
        <v/>
      </c>
      <c r="M18" t="str">
        <f>IF(F18="","",IFERROR(_xlfn.XLOOKUP(F18,TableLibraryBarriers[Type],TableLibraryBarriers[IFCEntity]),""))</f>
        <v/>
      </c>
      <c r="N18" t="str">
        <f>IF(F18="","",IFERROR(_xlfn.XLOOKUP(F18,TableLibraryBarriers[Type],TableLibraryBarriers[Material]),""))</f>
        <v/>
      </c>
      <c r="O18" t="str">
        <f>IF(F18="","",IFERROR(_xlfn.XLOOKUP(F18,TableLibraryBarriers[Type],TableLibraryBarriers[PostSpacing]),""))</f>
        <v/>
      </c>
      <c r="P18" t="str">
        <f>IF(F18="","",IFERROR(_xlfn.XLOOKUP(F18,TableLibraryBarriers[Type],TableLibraryBarriers[ModuleLength]),""))</f>
        <v/>
      </c>
      <c r="Q18" t="str">
        <f>IF(F18="","",IFERROR(_xlfn.XLOOKUP(F18,TableLibraryBarriers[Type],TableLibraryBarriers[Height]),""))</f>
        <v/>
      </c>
      <c r="R18" t="str">
        <f>IF(F18="","",IFERROR(_xlfn.XLOOKUP(F18,TableLibraryBarriers[Type],TableLibraryBarriers[Width]),""))</f>
        <v/>
      </c>
      <c r="S18" t="str">
        <f>IF(F18="","",IFERROR(_xlfn.XLOOKUP(F18,TableLibraryBarriers[Type],TableLibraryBarriers[ContainmentLevel]),""))</f>
        <v/>
      </c>
      <c r="T18" t="str">
        <f>IF(F18="","",IFERROR(_xlfn.XLOOKUP(F18,TableLibraryBarriers[Type],TableLibraryBarriers[WorkingWidth]),""))</f>
        <v/>
      </c>
      <c r="U18" t="str">
        <f>IF(F18="","",IFERROR(_xlfn.XLOOKUP(F18,TableLibraryBarriers[Type],TableLibraryBarriers[Layer]),""))</f>
        <v/>
      </c>
      <c r="V18" t="str">
        <f>IF(F18="","",IFERROR(_xlfn.XLOOKUP(F18,TableLibraryBarriers[Type],TableLibraryBarriers[TimeUnitLength(h)]),""))</f>
        <v/>
      </c>
      <c r="W18" t="str">
        <f>IF(F18="","",IFERROR(_xlfn.XLOOKUP(F18,TableLibraryBarriers[Type],TableLibraryBarriers[CostUnitLength]),""))</f>
        <v/>
      </c>
      <c r="X18" t="str">
        <f>IF(F18="","",IFERROR(_xlfn.XLOOKUP(F18,TableLibraryBarriers[Type],TableLibraryBarriers[Notes]),""))</f>
        <v/>
      </c>
      <c r="Y18" s="19"/>
      <c r="Z18" s="19"/>
    </row>
    <row r="19" spans="1:26">
      <c r="A19" t="str">
        <f t="shared" si="0"/>
        <v/>
      </c>
      <c r="C19" s="21"/>
      <c r="D19" s="21"/>
      <c r="E19" s="19"/>
      <c r="G19" s="16" t="str">
        <f>IF(BarriersTable[[#This Row],[PKStartValue]]="","",IF(C19="","",INT(C19/1000)&amp;"+"&amp;TEXT(MOD(C19,1000),"000.00")))</f>
        <v/>
      </c>
      <c r="H19" s="16" t="str">
        <f>IF(BarriersTable[[#This Row],[PKEndValue]]="","",IF(D19="","",INT(D19/1000)&amp;"+"&amp;TEXT(MOD(D19,1000),"000.00")))</f>
        <v/>
      </c>
      <c r="I19" t="str">
        <f>IF(F19="","",IFERROR(_xlfn.XLOOKUP(F19,TableLibraryBarriers[Type],TableLibraryBarriers[BarrierFamily]),""))</f>
        <v/>
      </c>
      <c r="J19" t="str">
        <f>IF(F19="","",IFERROR(_xlfn.XLOOKUP(F19,TableLibraryBarriers[Type],TableLibraryBarriers[BarrierType]),""))</f>
        <v/>
      </c>
      <c r="K19" t="str">
        <f>IF(F19="","",IFERROR(_xlfn.XLOOKUP(F19,TableLibraryBarriers[Type],TableLibraryBarriers[BlockLinear]),""))</f>
        <v/>
      </c>
      <c r="L19" t="str">
        <f>IF(F19="","",IFERROR(_xlfn.XLOOKUP(F19,TableLibraryBarriers[Type],TableLibraryBarriers[BlockPost]),""))</f>
        <v/>
      </c>
      <c r="M19" t="str">
        <f>IF(F19="","",IFERROR(_xlfn.XLOOKUP(F19,TableLibraryBarriers[Type],TableLibraryBarriers[IFCEntity]),""))</f>
        <v/>
      </c>
      <c r="N19" t="str">
        <f>IF(F19="","",IFERROR(_xlfn.XLOOKUP(F19,TableLibraryBarriers[Type],TableLibraryBarriers[Material]),""))</f>
        <v/>
      </c>
      <c r="O19" t="str">
        <f>IF(F19="","",IFERROR(_xlfn.XLOOKUP(F19,TableLibraryBarriers[Type],TableLibraryBarriers[PostSpacing]),""))</f>
        <v/>
      </c>
      <c r="P19" t="str">
        <f>IF(F19="","",IFERROR(_xlfn.XLOOKUP(F19,TableLibraryBarriers[Type],TableLibraryBarriers[ModuleLength]),""))</f>
        <v/>
      </c>
      <c r="Q19" t="str">
        <f>IF(F19="","",IFERROR(_xlfn.XLOOKUP(F19,TableLibraryBarriers[Type],TableLibraryBarriers[Height]),""))</f>
        <v/>
      </c>
      <c r="R19" t="str">
        <f>IF(F19="","",IFERROR(_xlfn.XLOOKUP(F19,TableLibraryBarriers[Type],TableLibraryBarriers[Width]),""))</f>
        <v/>
      </c>
      <c r="S19" t="str">
        <f>IF(F19="","",IFERROR(_xlfn.XLOOKUP(F19,TableLibraryBarriers[Type],TableLibraryBarriers[ContainmentLevel]),""))</f>
        <v/>
      </c>
      <c r="T19" t="str">
        <f>IF(F19="","",IFERROR(_xlfn.XLOOKUP(F19,TableLibraryBarriers[Type],TableLibraryBarriers[WorkingWidth]),""))</f>
        <v/>
      </c>
      <c r="U19" t="str">
        <f>IF(F19="","",IFERROR(_xlfn.XLOOKUP(F19,TableLibraryBarriers[Type],TableLibraryBarriers[Layer]),""))</f>
        <v/>
      </c>
      <c r="V19" t="str">
        <f>IF(F19="","",IFERROR(_xlfn.XLOOKUP(F19,TableLibraryBarriers[Type],TableLibraryBarriers[TimeUnitLength(h)]),""))</f>
        <v/>
      </c>
      <c r="W19" t="str">
        <f>IF(F19="","",IFERROR(_xlfn.XLOOKUP(F19,TableLibraryBarriers[Type],TableLibraryBarriers[CostUnitLength]),""))</f>
        <v/>
      </c>
      <c r="X19" t="str">
        <f>IF(F19="","",IFERROR(_xlfn.XLOOKUP(F19,TableLibraryBarriers[Type],TableLibraryBarriers[Notes]),""))</f>
        <v/>
      </c>
      <c r="Y19" s="19"/>
      <c r="Z19" s="19"/>
    </row>
    <row r="20" spans="1:26">
      <c r="A20" t="str">
        <f t="shared" si="0"/>
        <v/>
      </c>
      <c r="C20" s="21"/>
      <c r="D20" s="21"/>
      <c r="E20" s="19"/>
      <c r="G20" s="16" t="str">
        <f>IF(BarriersTable[[#This Row],[PKStartValue]]="","",IF(C20="","",INT(C20/1000)&amp;"+"&amp;TEXT(MOD(C20,1000),"000.00")))</f>
        <v/>
      </c>
      <c r="H20" s="16" t="str">
        <f>IF(BarriersTable[[#This Row],[PKEndValue]]="","",IF(D20="","",INT(D20/1000)&amp;"+"&amp;TEXT(MOD(D20,1000),"000.00")))</f>
        <v/>
      </c>
      <c r="I20" t="str">
        <f>IF(F20="","",IFERROR(_xlfn.XLOOKUP(F20,TableLibraryBarriers[Type],TableLibraryBarriers[BarrierFamily]),""))</f>
        <v/>
      </c>
      <c r="J20" t="str">
        <f>IF(F20="","",IFERROR(_xlfn.XLOOKUP(F20,TableLibraryBarriers[Type],TableLibraryBarriers[BarrierType]),""))</f>
        <v/>
      </c>
      <c r="K20" t="str">
        <f>IF(F20="","",IFERROR(_xlfn.XLOOKUP(F20,TableLibraryBarriers[Type],TableLibraryBarriers[BlockLinear]),""))</f>
        <v/>
      </c>
      <c r="L20" t="str">
        <f>IF(F20="","",IFERROR(_xlfn.XLOOKUP(F20,TableLibraryBarriers[Type],TableLibraryBarriers[BlockPost]),""))</f>
        <v/>
      </c>
      <c r="M20" t="str">
        <f>IF(F20="","",IFERROR(_xlfn.XLOOKUP(F20,TableLibraryBarriers[Type],TableLibraryBarriers[IFCEntity]),""))</f>
        <v/>
      </c>
      <c r="N20" t="str">
        <f>IF(F20="","",IFERROR(_xlfn.XLOOKUP(F20,TableLibraryBarriers[Type],TableLibraryBarriers[Material]),""))</f>
        <v/>
      </c>
      <c r="O20" t="str">
        <f>IF(F20="","",IFERROR(_xlfn.XLOOKUP(F20,TableLibraryBarriers[Type],TableLibraryBarriers[PostSpacing]),""))</f>
        <v/>
      </c>
      <c r="P20" t="str">
        <f>IF(F20="","",IFERROR(_xlfn.XLOOKUP(F20,TableLibraryBarriers[Type],TableLibraryBarriers[ModuleLength]),""))</f>
        <v/>
      </c>
      <c r="Q20" t="str">
        <f>IF(F20="","",IFERROR(_xlfn.XLOOKUP(F20,TableLibraryBarriers[Type],TableLibraryBarriers[Height]),""))</f>
        <v/>
      </c>
      <c r="R20" t="str">
        <f>IF(F20="","",IFERROR(_xlfn.XLOOKUP(F20,TableLibraryBarriers[Type],TableLibraryBarriers[Width]),""))</f>
        <v/>
      </c>
      <c r="S20" t="str">
        <f>IF(F20="","",IFERROR(_xlfn.XLOOKUP(F20,TableLibraryBarriers[Type],TableLibraryBarriers[ContainmentLevel]),""))</f>
        <v/>
      </c>
      <c r="T20" t="str">
        <f>IF(F20="","",IFERROR(_xlfn.XLOOKUP(F20,TableLibraryBarriers[Type],TableLibraryBarriers[WorkingWidth]),""))</f>
        <v/>
      </c>
      <c r="U20" t="str">
        <f>IF(F20="","",IFERROR(_xlfn.XLOOKUP(F20,TableLibraryBarriers[Type],TableLibraryBarriers[Layer]),""))</f>
        <v/>
      </c>
      <c r="V20" t="str">
        <f>IF(F20="","",IFERROR(_xlfn.XLOOKUP(F20,TableLibraryBarriers[Type],TableLibraryBarriers[TimeUnitLength(h)]),""))</f>
        <v/>
      </c>
      <c r="W20" t="str">
        <f>IF(F20="","",IFERROR(_xlfn.XLOOKUP(F20,TableLibraryBarriers[Type],TableLibraryBarriers[CostUnitLength]),""))</f>
        <v/>
      </c>
      <c r="X20" t="str">
        <f>IF(F20="","",IFERROR(_xlfn.XLOOKUP(F20,TableLibraryBarriers[Type],TableLibraryBarriers[Notes]),""))</f>
        <v/>
      </c>
      <c r="Y20" s="19"/>
      <c r="Z20" s="19"/>
    </row>
    <row r="21" spans="1:26">
      <c r="A21" t="str">
        <f t="shared" si="0"/>
        <v/>
      </c>
      <c r="C21" s="21"/>
      <c r="D21" s="21"/>
      <c r="E21" s="19"/>
      <c r="G21" s="16" t="str">
        <f>IF(BarriersTable[[#This Row],[PKStartValue]]="","",IF(C21="","",INT(C21/1000)&amp;"+"&amp;TEXT(MOD(C21,1000),"000.00")))</f>
        <v/>
      </c>
      <c r="H21" s="16" t="str">
        <f>IF(BarriersTable[[#This Row],[PKEndValue]]="","",IF(D21="","",INT(D21/1000)&amp;"+"&amp;TEXT(MOD(D21,1000),"000.00")))</f>
        <v/>
      </c>
      <c r="I21" t="str">
        <f>IF(F21="","",IFERROR(_xlfn.XLOOKUP(F21,TableLibraryBarriers[Type],TableLibraryBarriers[BarrierFamily]),""))</f>
        <v/>
      </c>
      <c r="J21" t="str">
        <f>IF(F21="","",IFERROR(_xlfn.XLOOKUP(F21,TableLibraryBarriers[Type],TableLibraryBarriers[BarrierType]),""))</f>
        <v/>
      </c>
      <c r="K21" t="str">
        <f>IF(F21="","",IFERROR(_xlfn.XLOOKUP(F21,TableLibraryBarriers[Type],TableLibraryBarriers[BlockLinear]),""))</f>
        <v/>
      </c>
      <c r="L21" t="str">
        <f>IF(F21="","",IFERROR(_xlfn.XLOOKUP(F21,TableLibraryBarriers[Type],TableLibraryBarriers[BlockPost]),""))</f>
        <v/>
      </c>
      <c r="M21" t="str">
        <f>IF(F21="","",IFERROR(_xlfn.XLOOKUP(F21,TableLibraryBarriers[Type],TableLibraryBarriers[IFCEntity]),""))</f>
        <v/>
      </c>
      <c r="N21" t="str">
        <f>IF(F21="","",IFERROR(_xlfn.XLOOKUP(F21,TableLibraryBarriers[Type],TableLibraryBarriers[Material]),""))</f>
        <v/>
      </c>
      <c r="O21" t="str">
        <f>IF(F21="","",IFERROR(_xlfn.XLOOKUP(F21,TableLibraryBarriers[Type],TableLibraryBarriers[PostSpacing]),""))</f>
        <v/>
      </c>
      <c r="P21" t="str">
        <f>IF(F21="","",IFERROR(_xlfn.XLOOKUP(F21,TableLibraryBarriers[Type],TableLibraryBarriers[ModuleLength]),""))</f>
        <v/>
      </c>
      <c r="Q21" t="str">
        <f>IF(F21="","",IFERROR(_xlfn.XLOOKUP(F21,TableLibraryBarriers[Type],TableLibraryBarriers[Height]),""))</f>
        <v/>
      </c>
      <c r="R21" t="str">
        <f>IF(F21="","",IFERROR(_xlfn.XLOOKUP(F21,TableLibraryBarriers[Type],TableLibraryBarriers[Width]),""))</f>
        <v/>
      </c>
      <c r="S21" t="str">
        <f>IF(F21="","",IFERROR(_xlfn.XLOOKUP(F21,TableLibraryBarriers[Type],TableLibraryBarriers[ContainmentLevel]),""))</f>
        <v/>
      </c>
      <c r="T21" t="str">
        <f>IF(F21="","",IFERROR(_xlfn.XLOOKUP(F21,TableLibraryBarriers[Type],TableLibraryBarriers[WorkingWidth]),""))</f>
        <v/>
      </c>
      <c r="U21" t="str">
        <f>IF(F21="","",IFERROR(_xlfn.XLOOKUP(F21,TableLibraryBarriers[Type],TableLibraryBarriers[Layer]),""))</f>
        <v/>
      </c>
      <c r="V21" t="str">
        <f>IF(F21="","",IFERROR(_xlfn.XLOOKUP(F21,TableLibraryBarriers[Type],TableLibraryBarriers[TimeUnitLength(h)]),""))</f>
        <v/>
      </c>
      <c r="W21" t="str">
        <f>IF(F21="","",IFERROR(_xlfn.XLOOKUP(F21,TableLibraryBarriers[Type],TableLibraryBarriers[CostUnitLength]),""))</f>
        <v/>
      </c>
      <c r="X21" t="str">
        <f>IF(F21="","",IFERROR(_xlfn.XLOOKUP(F21,TableLibraryBarriers[Type],TableLibraryBarriers[Notes]),""))</f>
        <v/>
      </c>
      <c r="Y21" s="19"/>
      <c r="Z21" s="19"/>
    </row>
    <row r="22" spans="1:26">
      <c r="A22" t="str">
        <f t="shared" si="0"/>
        <v/>
      </c>
      <c r="C22" s="21"/>
      <c r="D22" s="21"/>
      <c r="E22" s="19"/>
      <c r="G22" s="16" t="str">
        <f>IF(BarriersTable[[#This Row],[PKStartValue]]="","",IF(C22="","",INT(C22/1000)&amp;"+"&amp;TEXT(MOD(C22,1000),"000.00")))</f>
        <v/>
      </c>
      <c r="H22" s="16" t="str">
        <f>IF(BarriersTable[[#This Row],[PKEndValue]]="","",IF(D22="","",INT(D22/1000)&amp;"+"&amp;TEXT(MOD(D22,1000),"000.00")))</f>
        <v/>
      </c>
      <c r="I22" t="str">
        <f>IF(F22="","",IFERROR(_xlfn.XLOOKUP(F22,TableLibraryBarriers[Type],TableLibraryBarriers[BarrierFamily]),""))</f>
        <v/>
      </c>
      <c r="J22" t="str">
        <f>IF(F22="","",IFERROR(_xlfn.XLOOKUP(F22,TableLibraryBarriers[Type],TableLibraryBarriers[BarrierType]),""))</f>
        <v/>
      </c>
      <c r="K22" t="str">
        <f>IF(F22="","",IFERROR(_xlfn.XLOOKUP(F22,TableLibraryBarriers[Type],TableLibraryBarriers[BlockLinear]),""))</f>
        <v/>
      </c>
      <c r="L22" t="str">
        <f>IF(F22="","",IFERROR(_xlfn.XLOOKUP(F22,TableLibraryBarriers[Type],TableLibraryBarriers[BlockPost]),""))</f>
        <v/>
      </c>
      <c r="M22" t="str">
        <f>IF(F22="","",IFERROR(_xlfn.XLOOKUP(F22,TableLibraryBarriers[Type],TableLibraryBarriers[IFCEntity]),""))</f>
        <v/>
      </c>
      <c r="N22" t="str">
        <f>IF(F22="","",IFERROR(_xlfn.XLOOKUP(F22,TableLibraryBarriers[Type],TableLibraryBarriers[Material]),""))</f>
        <v/>
      </c>
      <c r="O22" t="str">
        <f>IF(F22="","",IFERROR(_xlfn.XLOOKUP(F22,TableLibraryBarriers[Type],TableLibraryBarriers[PostSpacing]),""))</f>
        <v/>
      </c>
      <c r="P22" t="str">
        <f>IF(F22="","",IFERROR(_xlfn.XLOOKUP(F22,TableLibraryBarriers[Type],TableLibraryBarriers[ModuleLength]),""))</f>
        <v/>
      </c>
      <c r="Q22" t="str">
        <f>IF(F22="","",IFERROR(_xlfn.XLOOKUP(F22,TableLibraryBarriers[Type],TableLibraryBarriers[Height]),""))</f>
        <v/>
      </c>
      <c r="R22" t="str">
        <f>IF(F22="","",IFERROR(_xlfn.XLOOKUP(F22,TableLibraryBarriers[Type],TableLibraryBarriers[Width]),""))</f>
        <v/>
      </c>
      <c r="S22" t="str">
        <f>IF(F22="","",IFERROR(_xlfn.XLOOKUP(F22,TableLibraryBarriers[Type],TableLibraryBarriers[ContainmentLevel]),""))</f>
        <v/>
      </c>
      <c r="T22" t="str">
        <f>IF(F22="","",IFERROR(_xlfn.XLOOKUP(F22,TableLibraryBarriers[Type],TableLibraryBarriers[WorkingWidth]),""))</f>
        <v/>
      </c>
      <c r="U22" t="str">
        <f>IF(F22="","",IFERROR(_xlfn.XLOOKUP(F22,TableLibraryBarriers[Type],TableLibraryBarriers[Layer]),""))</f>
        <v/>
      </c>
      <c r="V22" t="str">
        <f>IF(F22="","",IFERROR(_xlfn.XLOOKUP(F22,TableLibraryBarriers[Type],TableLibraryBarriers[TimeUnitLength(h)]),""))</f>
        <v/>
      </c>
      <c r="W22" t="str">
        <f>IF(F22="","",IFERROR(_xlfn.XLOOKUP(F22,TableLibraryBarriers[Type],TableLibraryBarriers[CostUnitLength]),""))</f>
        <v/>
      </c>
      <c r="X22" t="str">
        <f>IF(F22="","",IFERROR(_xlfn.XLOOKUP(F22,TableLibraryBarriers[Type],TableLibraryBarriers[Notes]),""))</f>
        <v/>
      </c>
      <c r="Y22" s="19"/>
      <c r="Z22" s="19"/>
    </row>
    <row r="23" spans="1:26">
      <c r="A23" t="str">
        <f t="shared" si="0"/>
        <v/>
      </c>
      <c r="C23" s="21"/>
      <c r="D23" s="21"/>
      <c r="E23" s="19"/>
      <c r="G23" s="16" t="str">
        <f>IF(BarriersTable[[#This Row],[PKStartValue]]="","",IF(C23="","",INT(C23/1000)&amp;"+"&amp;TEXT(MOD(C23,1000),"000.00")))</f>
        <v/>
      </c>
      <c r="H23" s="16" t="str">
        <f>IF(BarriersTable[[#This Row],[PKEndValue]]="","",IF(D23="","",INT(D23/1000)&amp;"+"&amp;TEXT(MOD(D23,1000),"000.00")))</f>
        <v/>
      </c>
      <c r="I23" t="str">
        <f>IF(F23="","",IFERROR(_xlfn.XLOOKUP(F23,TableLibraryBarriers[Type],TableLibraryBarriers[BarrierFamily]),""))</f>
        <v/>
      </c>
      <c r="J23" t="str">
        <f>IF(F23="","",IFERROR(_xlfn.XLOOKUP(F23,TableLibraryBarriers[Type],TableLibraryBarriers[BarrierType]),""))</f>
        <v/>
      </c>
      <c r="K23" t="str">
        <f>IF(F23="","",IFERROR(_xlfn.XLOOKUP(F23,TableLibraryBarriers[Type],TableLibraryBarriers[BlockLinear]),""))</f>
        <v/>
      </c>
      <c r="L23" t="str">
        <f>IF(F23="","",IFERROR(_xlfn.XLOOKUP(F23,TableLibraryBarriers[Type],TableLibraryBarriers[BlockPost]),""))</f>
        <v/>
      </c>
      <c r="M23" t="str">
        <f>IF(F23="","",IFERROR(_xlfn.XLOOKUP(F23,TableLibraryBarriers[Type],TableLibraryBarriers[IFCEntity]),""))</f>
        <v/>
      </c>
      <c r="N23" t="str">
        <f>IF(F23="","",IFERROR(_xlfn.XLOOKUP(F23,TableLibraryBarriers[Type],TableLibraryBarriers[Material]),""))</f>
        <v/>
      </c>
      <c r="O23" t="str">
        <f>IF(F23="","",IFERROR(_xlfn.XLOOKUP(F23,TableLibraryBarriers[Type],TableLibraryBarriers[PostSpacing]),""))</f>
        <v/>
      </c>
      <c r="P23" t="str">
        <f>IF(F23="","",IFERROR(_xlfn.XLOOKUP(F23,TableLibraryBarriers[Type],TableLibraryBarriers[ModuleLength]),""))</f>
        <v/>
      </c>
      <c r="Q23" t="str">
        <f>IF(F23="","",IFERROR(_xlfn.XLOOKUP(F23,TableLibraryBarriers[Type],TableLibraryBarriers[Height]),""))</f>
        <v/>
      </c>
      <c r="R23" t="str">
        <f>IF(F23="","",IFERROR(_xlfn.XLOOKUP(F23,TableLibraryBarriers[Type],TableLibraryBarriers[Width]),""))</f>
        <v/>
      </c>
      <c r="S23" t="str">
        <f>IF(F23="","",IFERROR(_xlfn.XLOOKUP(F23,TableLibraryBarriers[Type],TableLibraryBarriers[ContainmentLevel]),""))</f>
        <v/>
      </c>
      <c r="T23" t="str">
        <f>IF(F23="","",IFERROR(_xlfn.XLOOKUP(F23,TableLibraryBarriers[Type],TableLibraryBarriers[WorkingWidth]),""))</f>
        <v/>
      </c>
      <c r="U23" t="str">
        <f>IF(F23="","",IFERROR(_xlfn.XLOOKUP(F23,TableLibraryBarriers[Type],TableLibraryBarriers[Layer]),""))</f>
        <v/>
      </c>
      <c r="V23" t="str">
        <f>IF(F23="","",IFERROR(_xlfn.XLOOKUP(F23,TableLibraryBarriers[Type],TableLibraryBarriers[TimeUnitLength(h)]),""))</f>
        <v/>
      </c>
      <c r="W23" t="str">
        <f>IF(F23="","",IFERROR(_xlfn.XLOOKUP(F23,TableLibraryBarriers[Type],TableLibraryBarriers[CostUnitLength]),""))</f>
        <v/>
      </c>
      <c r="X23" t="str">
        <f>IF(F23="","",IFERROR(_xlfn.XLOOKUP(F23,TableLibraryBarriers[Type],TableLibraryBarriers[Notes]),""))</f>
        <v/>
      </c>
      <c r="Y23" s="19"/>
      <c r="Z23" s="19"/>
    </row>
    <row r="24" spans="1:26">
      <c r="A24" t="str">
        <f t="shared" si="0"/>
        <v/>
      </c>
      <c r="C24" s="21"/>
      <c r="D24" s="21"/>
      <c r="E24" s="19"/>
      <c r="G24" s="16" t="str">
        <f>IF(BarriersTable[[#This Row],[PKStartValue]]="","",IF(C24="","",INT(C24/1000)&amp;"+"&amp;TEXT(MOD(C24,1000),"000.00")))</f>
        <v/>
      </c>
      <c r="H24" s="16" t="str">
        <f>IF(BarriersTable[[#This Row],[PKEndValue]]="","",IF(D24="","",INT(D24/1000)&amp;"+"&amp;TEXT(MOD(D24,1000),"000.00")))</f>
        <v/>
      </c>
      <c r="I24" t="str">
        <f>IF(F24="","",IFERROR(_xlfn.XLOOKUP(F24,TableLibraryBarriers[Type],TableLibraryBarriers[BarrierFamily]),""))</f>
        <v/>
      </c>
      <c r="J24" t="str">
        <f>IF(F24="","",IFERROR(_xlfn.XLOOKUP(F24,TableLibraryBarriers[Type],TableLibraryBarriers[BarrierType]),""))</f>
        <v/>
      </c>
      <c r="K24" t="str">
        <f>IF(F24="","",IFERROR(_xlfn.XLOOKUP(F24,TableLibraryBarriers[Type],TableLibraryBarriers[BlockLinear]),""))</f>
        <v/>
      </c>
      <c r="L24" t="str">
        <f>IF(F24="","",IFERROR(_xlfn.XLOOKUP(F24,TableLibraryBarriers[Type],TableLibraryBarriers[BlockPost]),""))</f>
        <v/>
      </c>
      <c r="M24" t="str">
        <f>IF(F24="","",IFERROR(_xlfn.XLOOKUP(F24,TableLibraryBarriers[Type],TableLibraryBarriers[IFCEntity]),""))</f>
        <v/>
      </c>
      <c r="N24" t="str">
        <f>IF(F24="","",IFERROR(_xlfn.XLOOKUP(F24,TableLibraryBarriers[Type],TableLibraryBarriers[Material]),""))</f>
        <v/>
      </c>
      <c r="O24" t="str">
        <f>IF(F24="","",IFERROR(_xlfn.XLOOKUP(F24,TableLibraryBarriers[Type],TableLibraryBarriers[PostSpacing]),""))</f>
        <v/>
      </c>
      <c r="P24" t="str">
        <f>IF(F24="","",IFERROR(_xlfn.XLOOKUP(F24,TableLibraryBarriers[Type],TableLibraryBarriers[ModuleLength]),""))</f>
        <v/>
      </c>
      <c r="Q24" t="str">
        <f>IF(F24="","",IFERROR(_xlfn.XLOOKUP(F24,TableLibraryBarriers[Type],TableLibraryBarriers[Height]),""))</f>
        <v/>
      </c>
      <c r="R24" t="str">
        <f>IF(F24="","",IFERROR(_xlfn.XLOOKUP(F24,TableLibraryBarriers[Type],TableLibraryBarriers[Width]),""))</f>
        <v/>
      </c>
      <c r="S24" t="str">
        <f>IF(F24="","",IFERROR(_xlfn.XLOOKUP(F24,TableLibraryBarriers[Type],TableLibraryBarriers[ContainmentLevel]),""))</f>
        <v/>
      </c>
      <c r="T24" t="str">
        <f>IF(F24="","",IFERROR(_xlfn.XLOOKUP(F24,TableLibraryBarriers[Type],TableLibraryBarriers[WorkingWidth]),""))</f>
        <v/>
      </c>
      <c r="U24" t="str">
        <f>IF(F24="","",IFERROR(_xlfn.XLOOKUP(F24,TableLibraryBarriers[Type],TableLibraryBarriers[Layer]),""))</f>
        <v/>
      </c>
      <c r="V24" t="str">
        <f>IF(F24="","",IFERROR(_xlfn.XLOOKUP(F24,TableLibraryBarriers[Type],TableLibraryBarriers[TimeUnitLength(h)]),""))</f>
        <v/>
      </c>
      <c r="W24" t="str">
        <f>IF(F24="","",IFERROR(_xlfn.XLOOKUP(F24,TableLibraryBarriers[Type],TableLibraryBarriers[CostUnitLength]),""))</f>
        <v/>
      </c>
      <c r="X24" t="str">
        <f>IF(F24="","",IFERROR(_xlfn.XLOOKUP(F24,TableLibraryBarriers[Type],TableLibraryBarriers[Notes]),""))</f>
        <v/>
      </c>
      <c r="Y24" s="19"/>
      <c r="Z24" s="19"/>
    </row>
    <row r="25" spans="1:26">
      <c r="A25" t="str">
        <f t="shared" si="0"/>
        <v/>
      </c>
      <c r="C25" s="21"/>
      <c r="D25" s="21"/>
      <c r="E25" s="19"/>
      <c r="G25" s="16" t="str">
        <f>IF(BarriersTable[[#This Row],[PKStartValue]]="","",IF(C25="","",INT(C25/1000)&amp;"+"&amp;TEXT(MOD(C25,1000),"000.00")))</f>
        <v/>
      </c>
      <c r="H25" s="16" t="str">
        <f>IF(BarriersTable[[#This Row],[PKEndValue]]="","",IF(D25="","",INT(D25/1000)&amp;"+"&amp;TEXT(MOD(D25,1000),"000.00")))</f>
        <v/>
      </c>
      <c r="I25" t="str">
        <f>IF(F25="","",IFERROR(_xlfn.XLOOKUP(F25,TableLibraryBarriers[Type],TableLibraryBarriers[BarrierFamily]),""))</f>
        <v/>
      </c>
      <c r="J25" t="str">
        <f>IF(F25="","",IFERROR(_xlfn.XLOOKUP(F25,TableLibraryBarriers[Type],TableLibraryBarriers[BarrierType]),""))</f>
        <v/>
      </c>
      <c r="K25" t="str">
        <f>IF(F25="","",IFERROR(_xlfn.XLOOKUP(F25,TableLibraryBarriers[Type],TableLibraryBarriers[BlockLinear]),""))</f>
        <v/>
      </c>
      <c r="L25" t="str">
        <f>IF(F25="","",IFERROR(_xlfn.XLOOKUP(F25,TableLibraryBarriers[Type],TableLibraryBarriers[BlockPost]),""))</f>
        <v/>
      </c>
      <c r="M25" t="str">
        <f>IF(F25="","",IFERROR(_xlfn.XLOOKUP(F25,TableLibraryBarriers[Type],TableLibraryBarriers[IFCEntity]),""))</f>
        <v/>
      </c>
      <c r="N25" t="str">
        <f>IF(F25="","",IFERROR(_xlfn.XLOOKUP(F25,TableLibraryBarriers[Type],TableLibraryBarriers[Material]),""))</f>
        <v/>
      </c>
      <c r="O25" t="str">
        <f>IF(F25="","",IFERROR(_xlfn.XLOOKUP(F25,TableLibraryBarriers[Type],TableLibraryBarriers[PostSpacing]),""))</f>
        <v/>
      </c>
      <c r="P25" t="str">
        <f>IF(F25="","",IFERROR(_xlfn.XLOOKUP(F25,TableLibraryBarriers[Type],TableLibraryBarriers[ModuleLength]),""))</f>
        <v/>
      </c>
      <c r="Q25" t="str">
        <f>IF(F25="","",IFERROR(_xlfn.XLOOKUP(F25,TableLibraryBarriers[Type],TableLibraryBarriers[Height]),""))</f>
        <v/>
      </c>
      <c r="R25" t="str">
        <f>IF(F25="","",IFERROR(_xlfn.XLOOKUP(F25,TableLibraryBarriers[Type],TableLibraryBarriers[Width]),""))</f>
        <v/>
      </c>
      <c r="S25" t="str">
        <f>IF(F25="","",IFERROR(_xlfn.XLOOKUP(F25,TableLibraryBarriers[Type],TableLibraryBarriers[ContainmentLevel]),""))</f>
        <v/>
      </c>
      <c r="T25" t="str">
        <f>IF(F25="","",IFERROR(_xlfn.XLOOKUP(F25,TableLibraryBarriers[Type],TableLibraryBarriers[WorkingWidth]),""))</f>
        <v/>
      </c>
      <c r="U25" t="str">
        <f>IF(F25="","",IFERROR(_xlfn.XLOOKUP(F25,TableLibraryBarriers[Type],TableLibraryBarriers[Layer]),""))</f>
        <v/>
      </c>
      <c r="V25" t="str">
        <f>IF(F25="","",IFERROR(_xlfn.XLOOKUP(F25,TableLibraryBarriers[Type],TableLibraryBarriers[TimeUnitLength(h)]),""))</f>
        <v/>
      </c>
      <c r="W25" t="str">
        <f>IF(F25="","",IFERROR(_xlfn.XLOOKUP(F25,TableLibraryBarriers[Type],TableLibraryBarriers[CostUnitLength]),""))</f>
        <v/>
      </c>
      <c r="X25" t="str">
        <f>IF(F25="","",IFERROR(_xlfn.XLOOKUP(F25,TableLibraryBarriers[Type],TableLibraryBarriers[Notes]),""))</f>
        <v/>
      </c>
      <c r="Y25" s="19"/>
      <c r="Z25" s="19"/>
    </row>
    <row r="26" spans="1:26">
      <c r="A26" t="str">
        <f t="shared" si="0"/>
        <v/>
      </c>
      <c r="C26" s="21"/>
      <c r="D26" s="21"/>
      <c r="E26" s="19"/>
      <c r="G26" s="16" t="str">
        <f>IF(BarriersTable[[#This Row],[PKStartValue]]="","",IF(C26="","",INT(C26/1000)&amp;"+"&amp;TEXT(MOD(C26,1000),"000.00")))</f>
        <v/>
      </c>
      <c r="H26" s="16" t="str">
        <f>IF(BarriersTable[[#This Row],[PKEndValue]]="","",IF(D26="","",INT(D26/1000)&amp;"+"&amp;TEXT(MOD(D26,1000),"000.00")))</f>
        <v/>
      </c>
      <c r="I26" t="str">
        <f>IF(F26="","",IFERROR(_xlfn.XLOOKUP(F26,TableLibraryBarriers[Type],TableLibraryBarriers[BarrierFamily]),""))</f>
        <v/>
      </c>
      <c r="J26" t="str">
        <f>IF(F26="","",IFERROR(_xlfn.XLOOKUP(F26,TableLibraryBarriers[Type],TableLibraryBarriers[BarrierType]),""))</f>
        <v/>
      </c>
      <c r="K26" t="str">
        <f>IF(F26="","",IFERROR(_xlfn.XLOOKUP(F26,TableLibraryBarriers[Type],TableLibraryBarriers[BlockLinear]),""))</f>
        <v/>
      </c>
      <c r="L26" t="str">
        <f>IF(F26="","",IFERROR(_xlfn.XLOOKUP(F26,TableLibraryBarriers[Type],TableLibraryBarriers[BlockPost]),""))</f>
        <v/>
      </c>
      <c r="M26" t="str">
        <f>IF(F26="","",IFERROR(_xlfn.XLOOKUP(F26,TableLibraryBarriers[Type],TableLibraryBarriers[IFCEntity]),""))</f>
        <v/>
      </c>
      <c r="N26" t="str">
        <f>IF(F26="","",IFERROR(_xlfn.XLOOKUP(F26,TableLibraryBarriers[Type],TableLibraryBarriers[Material]),""))</f>
        <v/>
      </c>
      <c r="O26" t="str">
        <f>IF(F26="","",IFERROR(_xlfn.XLOOKUP(F26,TableLibraryBarriers[Type],TableLibraryBarriers[PostSpacing]),""))</f>
        <v/>
      </c>
      <c r="P26" t="str">
        <f>IF(F26="","",IFERROR(_xlfn.XLOOKUP(F26,TableLibraryBarriers[Type],TableLibraryBarriers[ModuleLength]),""))</f>
        <v/>
      </c>
      <c r="Q26" t="str">
        <f>IF(F26="","",IFERROR(_xlfn.XLOOKUP(F26,TableLibraryBarriers[Type],TableLibraryBarriers[Height]),""))</f>
        <v/>
      </c>
      <c r="R26" t="str">
        <f>IF(F26="","",IFERROR(_xlfn.XLOOKUP(F26,TableLibraryBarriers[Type],TableLibraryBarriers[Width]),""))</f>
        <v/>
      </c>
      <c r="S26" t="str">
        <f>IF(F26="","",IFERROR(_xlfn.XLOOKUP(F26,TableLibraryBarriers[Type],TableLibraryBarriers[ContainmentLevel]),""))</f>
        <v/>
      </c>
      <c r="T26" t="str">
        <f>IF(F26="","",IFERROR(_xlfn.XLOOKUP(F26,TableLibraryBarriers[Type],TableLibraryBarriers[WorkingWidth]),""))</f>
        <v/>
      </c>
      <c r="U26" t="str">
        <f>IF(F26="","",IFERROR(_xlfn.XLOOKUP(F26,TableLibraryBarriers[Type],TableLibraryBarriers[Layer]),""))</f>
        <v/>
      </c>
      <c r="V26" t="str">
        <f>IF(F26="","",IFERROR(_xlfn.XLOOKUP(F26,TableLibraryBarriers[Type],TableLibraryBarriers[TimeUnitLength(h)]),""))</f>
        <v/>
      </c>
      <c r="W26" t="str">
        <f>IF(F26="","",IFERROR(_xlfn.XLOOKUP(F26,TableLibraryBarriers[Type],TableLibraryBarriers[CostUnitLength]),""))</f>
        <v/>
      </c>
      <c r="X26" t="str">
        <f>IF(F26="","",IFERROR(_xlfn.XLOOKUP(F26,TableLibraryBarriers[Type],TableLibraryBarriers[Notes]),""))</f>
        <v/>
      </c>
      <c r="Y26" s="19"/>
      <c r="Z26" s="19"/>
    </row>
    <row r="27" spans="1:26">
      <c r="A27" t="str">
        <f t="shared" si="0"/>
        <v/>
      </c>
      <c r="C27" s="21"/>
      <c r="D27" s="21"/>
      <c r="E27" s="19"/>
      <c r="G27" s="16" t="str">
        <f>IF(BarriersTable[[#This Row],[PKStartValue]]="","",IF(C27="","",INT(C27/1000)&amp;"+"&amp;TEXT(MOD(C27,1000),"000.00")))</f>
        <v/>
      </c>
      <c r="H27" s="16" t="str">
        <f>IF(BarriersTable[[#This Row],[PKEndValue]]="","",IF(D27="","",INT(D27/1000)&amp;"+"&amp;TEXT(MOD(D27,1000),"000.00")))</f>
        <v/>
      </c>
      <c r="I27" t="str">
        <f>IF(F27="","",IFERROR(_xlfn.XLOOKUP(F27,TableLibraryBarriers[Type],TableLibraryBarriers[BarrierFamily]),""))</f>
        <v/>
      </c>
      <c r="J27" t="str">
        <f>IF(F27="","",IFERROR(_xlfn.XLOOKUP(F27,TableLibraryBarriers[Type],TableLibraryBarriers[BarrierType]),""))</f>
        <v/>
      </c>
      <c r="K27" t="str">
        <f>IF(F27="","",IFERROR(_xlfn.XLOOKUP(F27,TableLibraryBarriers[Type],TableLibraryBarriers[BlockLinear]),""))</f>
        <v/>
      </c>
      <c r="L27" t="str">
        <f>IF(F27="","",IFERROR(_xlfn.XLOOKUP(F27,TableLibraryBarriers[Type],TableLibraryBarriers[BlockPost]),""))</f>
        <v/>
      </c>
      <c r="M27" t="str">
        <f>IF(F27="","",IFERROR(_xlfn.XLOOKUP(F27,TableLibraryBarriers[Type],TableLibraryBarriers[IFCEntity]),""))</f>
        <v/>
      </c>
      <c r="N27" t="str">
        <f>IF(F27="","",IFERROR(_xlfn.XLOOKUP(F27,TableLibraryBarriers[Type],TableLibraryBarriers[Material]),""))</f>
        <v/>
      </c>
      <c r="O27" t="str">
        <f>IF(F27="","",IFERROR(_xlfn.XLOOKUP(F27,TableLibraryBarriers[Type],TableLibraryBarriers[PostSpacing]),""))</f>
        <v/>
      </c>
      <c r="P27" t="str">
        <f>IF(F27="","",IFERROR(_xlfn.XLOOKUP(F27,TableLibraryBarriers[Type],TableLibraryBarriers[ModuleLength]),""))</f>
        <v/>
      </c>
      <c r="Q27" t="str">
        <f>IF(F27="","",IFERROR(_xlfn.XLOOKUP(F27,TableLibraryBarriers[Type],TableLibraryBarriers[Height]),""))</f>
        <v/>
      </c>
      <c r="R27" t="str">
        <f>IF(F27="","",IFERROR(_xlfn.XLOOKUP(F27,TableLibraryBarriers[Type],TableLibraryBarriers[Width]),""))</f>
        <v/>
      </c>
      <c r="S27" t="str">
        <f>IF(F27="","",IFERROR(_xlfn.XLOOKUP(F27,TableLibraryBarriers[Type],TableLibraryBarriers[ContainmentLevel]),""))</f>
        <v/>
      </c>
      <c r="T27" t="str">
        <f>IF(F27="","",IFERROR(_xlfn.XLOOKUP(F27,TableLibraryBarriers[Type],TableLibraryBarriers[WorkingWidth]),""))</f>
        <v/>
      </c>
      <c r="U27" t="str">
        <f>IF(F27="","",IFERROR(_xlfn.XLOOKUP(F27,TableLibraryBarriers[Type],TableLibraryBarriers[Layer]),""))</f>
        <v/>
      </c>
      <c r="V27" t="str">
        <f>IF(F27="","",IFERROR(_xlfn.XLOOKUP(F27,TableLibraryBarriers[Type],TableLibraryBarriers[TimeUnitLength(h)]),""))</f>
        <v/>
      </c>
      <c r="W27" t="str">
        <f>IF(F27="","",IFERROR(_xlfn.XLOOKUP(F27,TableLibraryBarriers[Type],TableLibraryBarriers[CostUnitLength]),""))</f>
        <v/>
      </c>
      <c r="X27" t="str">
        <f>IF(F27="","",IFERROR(_xlfn.XLOOKUP(F27,TableLibraryBarriers[Type],TableLibraryBarriers[Notes]),""))</f>
        <v/>
      </c>
      <c r="Y27" s="19"/>
      <c r="Z27" s="19"/>
    </row>
    <row r="28" spans="1:26">
      <c r="A28" t="str">
        <f t="shared" si="0"/>
        <v/>
      </c>
      <c r="C28" s="21"/>
      <c r="D28" s="21"/>
      <c r="E28" s="19"/>
      <c r="G28" s="16" t="str">
        <f>IF(BarriersTable[[#This Row],[PKStartValue]]="","",IF(C28="","",INT(C28/1000)&amp;"+"&amp;TEXT(MOD(C28,1000),"000.00")))</f>
        <v/>
      </c>
      <c r="H28" s="16" t="str">
        <f>IF(BarriersTable[[#This Row],[PKEndValue]]="","",IF(D28="","",INT(D28/1000)&amp;"+"&amp;TEXT(MOD(D28,1000),"000.00")))</f>
        <v/>
      </c>
      <c r="I28" t="str">
        <f>IF(F28="","",IFERROR(_xlfn.XLOOKUP(F28,TableLibraryBarriers[Type],TableLibraryBarriers[BarrierFamily]),""))</f>
        <v/>
      </c>
      <c r="J28" t="str">
        <f>IF(F28="","",IFERROR(_xlfn.XLOOKUP(F28,TableLibraryBarriers[Type],TableLibraryBarriers[BarrierType]),""))</f>
        <v/>
      </c>
      <c r="K28" t="str">
        <f>IF(F28="","",IFERROR(_xlfn.XLOOKUP(F28,TableLibraryBarriers[Type],TableLibraryBarriers[BlockLinear]),""))</f>
        <v/>
      </c>
      <c r="L28" t="str">
        <f>IF(F28="","",IFERROR(_xlfn.XLOOKUP(F28,TableLibraryBarriers[Type],TableLibraryBarriers[BlockPost]),""))</f>
        <v/>
      </c>
      <c r="M28" t="str">
        <f>IF(F28="","",IFERROR(_xlfn.XLOOKUP(F28,TableLibraryBarriers[Type],TableLibraryBarriers[IFCEntity]),""))</f>
        <v/>
      </c>
      <c r="N28" t="str">
        <f>IF(F28="","",IFERROR(_xlfn.XLOOKUP(F28,TableLibraryBarriers[Type],TableLibraryBarriers[Material]),""))</f>
        <v/>
      </c>
      <c r="O28" t="str">
        <f>IF(F28="","",IFERROR(_xlfn.XLOOKUP(F28,TableLibraryBarriers[Type],TableLibraryBarriers[PostSpacing]),""))</f>
        <v/>
      </c>
      <c r="P28" t="str">
        <f>IF(F28="","",IFERROR(_xlfn.XLOOKUP(F28,TableLibraryBarriers[Type],TableLibraryBarriers[ModuleLength]),""))</f>
        <v/>
      </c>
      <c r="Q28" t="str">
        <f>IF(F28="","",IFERROR(_xlfn.XLOOKUP(F28,TableLibraryBarriers[Type],TableLibraryBarriers[Height]),""))</f>
        <v/>
      </c>
      <c r="R28" t="str">
        <f>IF(F28="","",IFERROR(_xlfn.XLOOKUP(F28,TableLibraryBarriers[Type],TableLibraryBarriers[Width]),""))</f>
        <v/>
      </c>
      <c r="S28" t="str">
        <f>IF(F28="","",IFERROR(_xlfn.XLOOKUP(F28,TableLibraryBarriers[Type],TableLibraryBarriers[ContainmentLevel]),""))</f>
        <v/>
      </c>
      <c r="T28" t="str">
        <f>IF(F28="","",IFERROR(_xlfn.XLOOKUP(F28,TableLibraryBarriers[Type],TableLibraryBarriers[WorkingWidth]),""))</f>
        <v/>
      </c>
      <c r="U28" t="str">
        <f>IF(F28="","",IFERROR(_xlfn.XLOOKUP(F28,TableLibraryBarriers[Type],TableLibraryBarriers[Layer]),""))</f>
        <v/>
      </c>
      <c r="V28" t="str">
        <f>IF(F28="","",IFERROR(_xlfn.XLOOKUP(F28,TableLibraryBarriers[Type],TableLibraryBarriers[TimeUnitLength(h)]),""))</f>
        <v/>
      </c>
      <c r="W28" t="str">
        <f>IF(F28="","",IFERROR(_xlfn.XLOOKUP(F28,TableLibraryBarriers[Type],TableLibraryBarriers[CostUnitLength]),""))</f>
        <v/>
      </c>
      <c r="X28" t="str">
        <f>IF(F28="","",IFERROR(_xlfn.XLOOKUP(F28,TableLibraryBarriers[Type],TableLibraryBarriers[Notes]),""))</f>
        <v/>
      </c>
      <c r="Y28" s="19"/>
      <c r="Z28" s="19"/>
    </row>
    <row r="29" spans="1:26">
      <c r="A29" t="str">
        <f t="shared" si="0"/>
        <v/>
      </c>
      <c r="C29" s="21"/>
      <c r="D29" s="21"/>
      <c r="E29" s="19"/>
      <c r="G29" s="16" t="str">
        <f>IF(BarriersTable[[#This Row],[PKStartValue]]="","",IF(C29="","",INT(C29/1000)&amp;"+"&amp;TEXT(MOD(C29,1000),"000.00")))</f>
        <v/>
      </c>
      <c r="H29" s="16" t="str">
        <f>IF(BarriersTable[[#This Row],[PKEndValue]]="","",IF(D29="","",INT(D29/1000)&amp;"+"&amp;TEXT(MOD(D29,1000),"000.00")))</f>
        <v/>
      </c>
      <c r="I29" t="str">
        <f>IF(F29="","",IFERROR(_xlfn.XLOOKUP(F29,TableLibraryBarriers[Type],TableLibraryBarriers[BarrierFamily]),""))</f>
        <v/>
      </c>
      <c r="J29" t="str">
        <f>IF(F29="","",IFERROR(_xlfn.XLOOKUP(F29,TableLibraryBarriers[Type],TableLibraryBarriers[BarrierType]),""))</f>
        <v/>
      </c>
      <c r="K29" t="str">
        <f>IF(F29="","",IFERROR(_xlfn.XLOOKUP(F29,TableLibraryBarriers[Type],TableLibraryBarriers[BlockLinear]),""))</f>
        <v/>
      </c>
      <c r="L29" t="str">
        <f>IF(F29="","",IFERROR(_xlfn.XLOOKUP(F29,TableLibraryBarriers[Type],TableLibraryBarriers[BlockPost]),""))</f>
        <v/>
      </c>
      <c r="M29" t="str">
        <f>IF(F29="","",IFERROR(_xlfn.XLOOKUP(F29,TableLibraryBarriers[Type],TableLibraryBarriers[IFCEntity]),""))</f>
        <v/>
      </c>
      <c r="N29" t="str">
        <f>IF(F29="","",IFERROR(_xlfn.XLOOKUP(F29,TableLibraryBarriers[Type],TableLibraryBarriers[Material]),""))</f>
        <v/>
      </c>
      <c r="O29" t="str">
        <f>IF(F29="","",IFERROR(_xlfn.XLOOKUP(F29,TableLibraryBarriers[Type],TableLibraryBarriers[PostSpacing]),""))</f>
        <v/>
      </c>
      <c r="P29" t="str">
        <f>IF(F29="","",IFERROR(_xlfn.XLOOKUP(F29,TableLibraryBarriers[Type],TableLibraryBarriers[ModuleLength]),""))</f>
        <v/>
      </c>
      <c r="Q29" t="str">
        <f>IF(F29="","",IFERROR(_xlfn.XLOOKUP(F29,TableLibraryBarriers[Type],TableLibraryBarriers[Height]),""))</f>
        <v/>
      </c>
      <c r="R29" t="str">
        <f>IF(F29="","",IFERROR(_xlfn.XLOOKUP(F29,TableLibraryBarriers[Type],TableLibraryBarriers[Width]),""))</f>
        <v/>
      </c>
      <c r="S29" t="str">
        <f>IF(F29="","",IFERROR(_xlfn.XLOOKUP(F29,TableLibraryBarriers[Type],TableLibraryBarriers[ContainmentLevel]),""))</f>
        <v/>
      </c>
      <c r="T29" t="str">
        <f>IF(F29="","",IFERROR(_xlfn.XLOOKUP(F29,TableLibraryBarriers[Type],TableLibraryBarriers[WorkingWidth]),""))</f>
        <v/>
      </c>
      <c r="U29" t="str">
        <f>IF(F29="","",IFERROR(_xlfn.XLOOKUP(F29,TableLibraryBarriers[Type],TableLibraryBarriers[Layer]),""))</f>
        <v/>
      </c>
      <c r="V29" t="str">
        <f>IF(F29="","",IFERROR(_xlfn.XLOOKUP(F29,TableLibraryBarriers[Type],TableLibraryBarriers[TimeUnitLength(h)]),""))</f>
        <v/>
      </c>
      <c r="W29" t="str">
        <f>IF(F29="","",IFERROR(_xlfn.XLOOKUP(F29,TableLibraryBarriers[Type],TableLibraryBarriers[CostUnitLength]),""))</f>
        <v/>
      </c>
      <c r="X29" t="str">
        <f>IF(F29="","",IFERROR(_xlfn.XLOOKUP(F29,TableLibraryBarriers[Type],TableLibraryBarriers[Notes]),""))</f>
        <v/>
      </c>
      <c r="Y29" s="19"/>
      <c r="Z29" s="19"/>
    </row>
    <row r="30" spans="1:26">
      <c r="A30" t="str">
        <f t="shared" si="0"/>
        <v/>
      </c>
      <c r="C30" s="21"/>
      <c r="D30" s="21"/>
      <c r="E30" s="19"/>
      <c r="G30" s="16" t="str">
        <f>IF(BarriersTable[[#This Row],[PKStartValue]]="","",IF(C30="","",INT(C30/1000)&amp;"+"&amp;TEXT(MOD(C30,1000),"000.00")))</f>
        <v/>
      </c>
      <c r="H30" s="16" t="str">
        <f>IF(BarriersTable[[#This Row],[PKEndValue]]="","",IF(D30="","",INT(D30/1000)&amp;"+"&amp;TEXT(MOD(D30,1000),"000.00")))</f>
        <v/>
      </c>
      <c r="I30" t="str">
        <f>IF(F30="","",IFERROR(_xlfn.XLOOKUP(F30,TableLibraryBarriers[Type],TableLibraryBarriers[BarrierFamily]),""))</f>
        <v/>
      </c>
      <c r="J30" t="str">
        <f>IF(F30="","",IFERROR(_xlfn.XLOOKUP(F30,TableLibraryBarriers[Type],TableLibraryBarriers[BarrierType]),""))</f>
        <v/>
      </c>
      <c r="K30" t="str">
        <f>IF(F30="","",IFERROR(_xlfn.XLOOKUP(F30,TableLibraryBarriers[Type],TableLibraryBarriers[BlockLinear]),""))</f>
        <v/>
      </c>
      <c r="L30" t="str">
        <f>IF(F30="","",IFERROR(_xlfn.XLOOKUP(F30,TableLibraryBarriers[Type],TableLibraryBarriers[BlockPost]),""))</f>
        <v/>
      </c>
      <c r="M30" t="str">
        <f>IF(F30="","",IFERROR(_xlfn.XLOOKUP(F30,TableLibraryBarriers[Type],TableLibraryBarriers[IFCEntity]),""))</f>
        <v/>
      </c>
      <c r="N30" t="str">
        <f>IF(F30="","",IFERROR(_xlfn.XLOOKUP(F30,TableLibraryBarriers[Type],TableLibraryBarriers[Material]),""))</f>
        <v/>
      </c>
      <c r="O30" t="str">
        <f>IF(F30="","",IFERROR(_xlfn.XLOOKUP(F30,TableLibraryBarriers[Type],TableLibraryBarriers[PostSpacing]),""))</f>
        <v/>
      </c>
      <c r="P30" t="str">
        <f>IF(F30="","",IFERROR(_xlfn.XLOOKUP(F30,TableLibraryBarriers[Type],TableLibraryBarriers[ModuleLength]),""))</f>
        <v/>
      </c>
      <c r="Q30" t="str">
        <f>IF(F30="","",IFERROR(_xlfn.XLOOKUP(F30,TableLibraryBarriers[Type],TableLibraryBarriers[Height]),""))</f>
        <v/>
      </c>
      <c r="R30" t="str">
        <f>IF(F30="","",IFERROR(_xlfn.XLOOKUP(F30,TableLibraryBarriers[Type],TableLibraryBarriers[Width]),""))</f>
        <v/>
      </c>
      <c r="S30" t="str">
        <f>IF(F30="","",IFERROR(_xlfn.XLOOKUP(F30,TableLibraryBarriers[Type],TableLibraryBarriers[ContainmentLevel]),""))</f>
        <v/>
      </c>
      <c r="T30" t="str">
        <f>IF(F30="","",IFERROR(_xlfn.XLOOKUP(F30,TableLibraryBarriers[Type],TableLibraryBarriers[WorkingWidth]),""))</f>
        <v/>
      </c>
      <c r="U30" t="str">
        <f>IF(F30="","",IFERROR(_xlfn.XLOOKUP(F30,TableLibraryBarriers[Type],TableLibraryBarriers[Layer]),""))</f>
        <v/>
      </c>
      <c r="V30" t="str">
        <f>IF(F30="","",IFERROR(_xlfn.XLOOKUP(F30,TableLibraryBarriers[Type],TableLibraryBarriers[TimeUnitLength(h)]),""))</f>
        <v/>
      </c>
      <c r="W30" t="str">
        <f>IF(F30="","",IFERROR(_xlfn.XLOOKUP(F30,TableLibraryBarriers[Type],TableLibraryBarriers[CostUnitLength]),""))</f>
        <v/>
      </c>
      <c r="X30" t="str">
        <f>IF(F30="","",IFERROR(_xlfn.XLOOKUP(F30,TableLibraryBarriers[Type],TableLibraryBarriers[Notes]),""))</f>
        <v/>
      </c>
      <c r="Y30" s="19"/>
      <c r="Z30" s="19"/>
    </row>
    <row r="31" spans="1:26">
      <c r="A31" t="str">
        <f t="shared" si="0"/>
        <v/>
      </c>
      <c r="C31" s="21"/>
      <c r="D31" s="21"/>
      <c r="E31" s="19"/>
      <c r="G31" s="16" t="str">
        <f>IF(BarriersTable[[#This Row],[PKStartValue]]="","",IF(C31="","",INT(C31/1000)&amp;"+"&amp;TEXT(MOD(C31,1000),"000.00")))</f>
        <v/>
      </c>
      <c r="H31" s="16" t="str">
        <f>IF(BarriersTable[[#This Row],[PKEndValue]]="","",IF(D31="","",INT(D31/1000)&amp;"+"&amp;TEXT(MOD(D31,1000),"000.00")))</f>
        <v/>
      </c>
      <c r="I31" t="str">
        <f>IF(F31="","",IFERROR(_xlfn.XLOOKUP(F31,TableLibraryBarriers[Type],TableLibraryBarriers[BarrierFamily]),""))</f>
        <v/>
      </c>
      <c r="J31" t="str">
        <f>IF(F31="","",IFERROR(_xlfn.XLOOKUP(F31,TableLibraryBarriers[Type],TableLibraryBarriers[BarrierType]),""))</f>
        <v/>
      </c>
      <c r="K31" t="str">
        <f>IF(F31="","",IFERROR(_xlfn.XLOOKUP(F31,TableLibraryBarriers[Type],TableLibraryBarriers[BlockLinear]),""))</f>
        <v/>
      </c>
      <c r="L31" t="str">
        <f>IF(F31="","",IFERROR(_xlfn.XLOOKUP(F31,TableLibraryBarriers[Type],TableLibraryBarriers[BlockPost]),""))</f>
        <v/>
      </c>
      <c r="M31" t="str">
        <f>IF(F31="","",IFERROR(_xlfn.XLOOKUP(F31,TableLibraryBarriers[Type],TableLibraryBarriers[IFCEntity]),""))</f>
        <v/>
      </c>
      <c r="N31" t="str">
        <f>IF(F31="","",IFERROR(_xlfn.XLOOKUP(F31,TableLibraryBarriers[Type],TableLibraryBarriers[Material]),""))</f>
        <v/>
      </c>
      <c r="O31" t="str">
        <f>IF(F31="","",IFERROR(_xlfn.XLOOKUP(F31,TableLibraryBarriers[Type],TableLibraryBarriers[PostSpacing]),""))</f>
        <v/>
      </c>
      <c r="P31" t="str">
        <f>IF(F31="","",IFERROR(_xlfn.XLOOKUP(F31,TableLibraryBarriers[Type],TableLibraryBarriers[ModuleLength]),""))</f>
        <v/>
      </c>
      <c r="Q31" t="str">
        <f>IF(F31="","",IFERROR(_xlfn.XLOOKUP(F31,TableLibraryBarriers[Type],TableLibraryBarriers[Height]),""))</f>
        <v/>
      </c>
      <c r="R31" t="str">
        <f>IF(F31="","",IFERROR(_xlfn.XLOOKUP(F31,TableLibraryBarriers[Type],TableLibraryBarriers[Width]),""))</f>
        <v/>
      </c>
      <c r="S31" t="str">
        <f>IF(F31="","",IFERROR(_xlfn.XLOOKUP(F31,TableLibraryBarriers[Type],TableLibraryBarriers[ContainmentLevel]),""))</f>
        <v/>
      </c>
      <c r="T31" t="str">
        <f>IF(F31="","",IFERROR(_xlfn.XLOOKUP(F31,TableLibraryBarriers[Type],TableLibraryBarriers[WorkingWidth]),""))</f>
        <v/>
      </c>
      <c r="U31" t="str">
        <f>IF(F31="","",IFERROR(_xlfn.XLOOKUP(F31,TableLibraryBarriers[Type],TableLibraryBarriers[Layer]),""))</f>
        <v/>
      </c>
      <c r="V31" t="str">
        <f>IF(F31="","",IFERROR(_xlfn.XLOOKUP(F31,TableLibraryBarriers[Type],TableLibraryBarriers[TimeUnitLength(h)]),""))</f>
        <v/>
      </c>
      <c r="W31" t="str">
        <f>IF(F31="","",IFERROR(_xlfn.XLOOKUP(F31,TableLibraryBarriers[Type],TableLibraryBarriers[CostUnitLength]),""))</f>
        <v/>
      </c>
      <c r="X31" t="str">
        <f>IF(F31="","",IFERROR(_xlfn.XLOOKUP(F31,TableLibraryBarriers[Type],TableLibraryBarriers[Notes]),""))</f>
        <v/>
      </c>
      <c r="Y31" s="19"/>
      <c r="Z31" s="19"/>
    </row>
    <row r="32" spans="1:26">
      <c r="A32" t="str">
        <f t="shared" si="0"/>
        <v/>
      </c>
      <c r="C32" s="21"/>
      <c r="D32" s="21"/>
      <c r="E32" s="19"/>
      <c r="G32" s="16" t="str">
        <f>IF(BarriersTable[[#This Row],[PKStartValue]]="","",IF(C32="","",INT(C32/1000)&amp;"+"&amp;TEXT(MOD(C32,1000),"000.00")))</f>
        <v/>
      </c>
      <c r="H32" s="16" t="str">
        <f>IF(BarriersTable[[#This Row],[PKEndValue]]="","",IF(D32="","",INT(D32/1000)&amp;"+"&amp;TEXT(MOD(D32,1000),"000.00")))</f>
        <v/>
      </c>
      <c r="I32" t="str">
        <f>IF(F32="","",IFERROR(_xlfn.XLOOKUP(F32,TableLibraryBarriers[Type],TableLibraryBarriers[BarrierFamily]),""))</f>
        <v/>
      </c>
      <c r="J32" t="str">
        <f>IF(F32="","",IFERROR(_xlfn.XLOOKUP(F32,TableLibraryBarriers[Type],TableLibraryBarriers[BarrierType]),""))</f>
        <v/>
      </c>
      <c r="K32" t="str">
        <f>IF(F32="","",IFERROR(_xlfn.XLOOKUP(F32,TableLibraryBarriers[Type],TableLibraryBarriers[BlockLinear]),""))</f>
        <v/>
      </c>
      <c r="L32" t="str">
        <f>IF(F32="","",IFERROR(_xlfn.XLOOKUP(F32,TableLibraryBarriers[Type],TableLibraryBarriers[BlockPost]),""))</f>
        <v/>
      </c>
      <c r="M32" t="str">
        <f>IF(F32="","",IFERROR(_xlfn.XLOOKUP(F32,TableLibraryBarriers[Type],TableLibraryBarriers[IFCEntity]),""))</f>
        <v/>
      </c>
      <c r="N32" t="str">
        <f>IF(F32="","",IFERROR(_xlfn.XLOOKUP(F32,TableLibraryBarriers[Type],TableLibraryBarriers[Material]),""))</f>
        <v/>
      </c>
      <c r="O32" t="str">
        <f>IF(F32="","",IFERROR(_xlfn.XLOOKUP(F32,TableLibraryBarriers[Type],TableLibraryBarriers[PostSpacing]),""))</f>
        <v/>
      </c>
      <c r="P32" t="str">
        <f>IF(F32="","",IFERROR(_xlfn.XLOOKUP(F32,TableLibraryBarriers[Type],TableLibraryBarriers[ModuleLength]),""))</f>
        <v/>
      </c>
      <c r="Q32" t="str">
        <f>IF(F32="","",IFERROR(_xlfn.XLOOKUP(F32,TableLibraryBarriers[Type],TableLibraryBarriers[Height]),""))</f>
        <v/>
      </c>
      <c r="R32" t="str">
        <f>IF(F32="","",IFERROR(_xlfn.XLOOKUP(F32,TableLibraryBarriers[Type],TableLibraryBarriers[Width]),""))</f>
        <v/>
      </c>
      <c r="S32" t="str">
        <f>IF(F32="","",IFERROR(_xlfn.XLOOKUP(F32,TableLibraryBarriers[Type],TableLibraryBarriers[ContainmentLevel]),""))</f>
        <v/>
      </c>
      <c r="T32" t="str">
        <f>IF(F32="","",IFERROR(_xlfn.XLOOKUP(F32,TableLibraryBarriers[Type],TableLibraryBarriers[WorkingWidth]),""))</f>
        <v/>
      </c>
      <c r="U32" t="str">
        <f>IF(F32="","",IFERROR(_xlfn.XLOOKUP(F32,TableLibraryBarriers[Type],TableLibraryBarriers[Layer]),""))</f>
        <v/>
      </c>
      <c r="V32" t="str">
        <f>IF(F32="","",IFERROR(_xlfn.XLOOKUP(F32,TableLibraryBarriers[Type],TableLibraryBarriers[TimeUnitLength(h)]),""))</f>
        <v/>
      </c>
      <c r="W32" t="str">
        <f>IF(F32="","",IFERROR(_xlfn.XLOOKUP(F32,TableLibraryBarriers[Type],TableLibraryBarriers[CostUnitLength]),""))</f>
        <v/>
      </c>
      <c r="X32" t="str">
        <f>IF(F32="","",IFERROR(_xlfn.XLOOKUP(F32,TableLibraryBarriers[Type],TableLibraryBarriers[Notes]),""))</f>
        <v/>
      </c>
      <c r="Y32" s="19"/>
      <c r="Z32" s="19"/>
    </row>
    <row r="33" spans="1:26">
      <c r="A33" t="str">
        <f t="shared" si="0"/>
        <v/>
      </c>
      <c r="C33" s="21"/>
      <c r="D33" s="21"/>
      <c r="E33" s="19"/>
      <c r="G33" s="16" t="str">
        <f>IF(BarriersTable[[#This Row],[PKStartValue]]="","",IF(C33="","",INT(C33/1000)&amp;"+"&amp;TEXT(MOD(C33,1000),"000.00")))</f>
        <v/>
      </c>
      <c r="H33" s="16" t="str">
        <f>IF(BarriersTable[[#This Row],[PKEndValue]]="","",IF(D33="","",INT(D33/1000)&amp;"+"&amp;TEXT(MOD(D33,1000),"000.00")))</f>
        <v/>
      </c>
      <c r="I33" t="str">
        <f>IF(F33="","",IFERROR(_xlfn.XLOOKUP(F33,TableLibraryBarriers[Type],TableLibraryBarriers[BarrierFamily]),""))</f>
        <v/>
      </c>
      <c r="J33" t="str">
        <f>IF(F33="","",IFERROR(_xlfn.XLOOKUP(F33,TableLibraryBarriers[Type],TableLibraryBarriers[BarrierType]),""))</f>
        <v/>
      </c>
      <c r="K33" t="str">
        <f>IF(F33="","",IFERROR(_xlfn.XLOOKUP(F33,TableLibraryBarriers[Type],TableLibraryBarriers[BlockLinear]),""))</f>
        <v/>
      </c>
      <c r="L33" t="str">
        <f>IF(F33="","",IFERROR(_xlfn.XLOOKUP(F33,TableLibraryBarriers[Type],TableLibraryBarriers[BlockPost]),""))</f>
        <v/>
      </c>
      <c r="M33" t="str">
        <f>IF(F33="","",IFERROR(_xlfn.XLOOKUP(F33,TableLibraryBarriers[Type],TableLibraryBarriers[IFCEntity]),""))</f>
        <v/>
      </c>
      <c r="N33" t="str">
        <f>IF(F33="","",IFERROR(_xlfn.XLOOKUP(F33,TableLibraryBarriers[Type],TableLibraryBarriers[Material]),""))</f>
        <v/>
      </c>
      <c r="O33" t="str">
        <f>IF(F33="","",IFERROR(_xlfn.XLOOKUP(F33,TableLibraryBarriers[Type],TableLibraryBarriers[PostSpacing]),""))</f>
        <v/>
      </c>
      <c r="P33" t="str">
        <f>IF(F33="","",IFERROR(_xlfn.XLOOKUP(F33,TableLibraryBarriers[Type],TableLibraryBarriers[ModuleLength]),""))</f>
        <v/>
      </c>
      <c r="Q33" t="str">
        <f>IF(F33="","",IFERROR(_xlfn.XLOOKUP(F33,TableLibraryBarriers[Type],TableLibraryBarriers[Height]),""))</f>
        <v/>
      </c>
      <c r="R33" t="str">
        <f>IF(F33="","",IFERROR(_xlfn.XLOOKUP(F33,TableLibraryBarriers[Type],TableLibraryBarriers[Width]),""))</f>
        <v/>
      </c>
      <c r="S33" t="str">
        <f>IF(F33="","",IFERROR(_xlfn.XLOOKUP(F33,TableLibraryBarriers[Type],TableLibraryBarriers[ContainmentLevel]),""))</f>
        <v/>
      </c>
      <c r="T33" t="str">
        <f>IF(F33="","",IFERROR(_xlfn.XLOOKUP(F33,TableLibraryBarriers[Type],TableLibraryBarriers[WorkingWidth]),""))</f>
        <v/>
      </c>
      <c r="U33" t="str">
        <f>IF(F33="","",IFERROR(_xlfn.XLOOKUP(F33,TableLibraryBarriers[Type],TableLibraryBarriers[Layer]),""))</f>
        <v/>
      </c>
      <c r="V33" t="str">
        <f>IF(F33="","",IFERROR(_xlfn.XLOOKUP(F33,TableLibraryBarriers[Type],TableLibraryBarriers[TimeUnitLength(h)]),""))</f>
        <v/>
      </c>
      <c r="W33" t="str">
        <f>IF(F33="","",IFERROR(_xlfn.XLOOKUP(F33,TableLibraryBarriers[Type],TableLibraryBarriers[CostUnitLength]),""))</f>
        <v/>
      </c>
      <c r="X33" t="str">
        <f>IF(F33="","",IFERROR(_xlfn.XLOOKUP(F33,TableLibraryBarriers[Type],TableLibraryBarriers[Notes]),""))</f>
        <v/>
      </c>
      <c r="Y33" s="19"/>
      <c r="Z33" s="19"/>
    </row>
    <row r="34" spans="1:26">
      <c r="A34" t="str">
        <f t="shared" si="0"/>
        <v/>
      </c>
      <c r="C34" s="21"/>
      <c r="D34" s="21"/>
      <c r="E34" s="19"/>
      <c r="G34" s="16" t="str">
        <f>IF(BarriersTable[[#This Row],[PKStartValue]]="","",IF(C34="","",INT(C34/1000)&amp;"+"&amp;TEXT(MOD(C34,1000),"000.00")))</f>
        <v/>
      </c>
      <c r="H34" s="16" t="str">
        <f>IF(BarriersTable[[#This Row],[PKEndValue]]="","",IF(D34="","",INT(D34/1000)&amp;"+"&amp;TEXT(MOD(D34,1000),"000.00")))</f>
        <v/>
      </c>
      <c r="I34" t="str">
        <f>IF(F34="","",IFERROR(_xlfn.XLOOKUP(F34,TableLibraryBarriers[Type],TableLibraryBarriers[BarrierFamily]),""))</f>
        <v/>
      </c>
      <c r="J34" t="str">
        <f>IF(F34="","",IFERROR(_xlfn.XLOOKUP(F34,TableLibraryBarriers[Type],TableLibraryBarriers[BarrierType]),""))</f>
        <v/>
      </c>
      <c r="K34" t="str">
        <f>IF(F34="","",IFERROR(_xlfn.XLOOKUP(F34,TableLibraryBarriers[Type],TableLibraryBarriers[BlockLinear]),""))</f>
        <v/>
      </c>
      <c r="L34" t="str">
        <f>IF(F34="","",IFERROR(_xlfn.XLOOKUP(F34,TableLibraryBarriers[Type],TableLibraryBarriers[BlockPost]),""))</f>
        <v/>
      </c>
      <c r="M34" t="str">
        <f>IF(F34="","",IFERROR(_xlfn.XLOOKUP(F34,TableLibraryBarriers[Type],TableLibraryBarriers[IFCEntity]),""))</f>
        <v/>
      </c>
      <c r="N34" t="str">
        <f>IF(F34="","",IFERROR(_xlfn.XLOOKUP(F34,TableLibraryBarriers[Type],TableLibraryBarriers[Material]),""))</f>
        <v/>
      </c>
      <c r="O34" t="str">
        <f>IF(F34="","",IFERROR(_xlfn.XLOOKUP(F34,TableLibraryBarriers[Type],TableLibraryBarriers[PostSpacing]),""))</f>
        <v/>
      </c>
      <c r="P34" t="str">
        <f>IF(F34="","",IFERROR(_xlfn.XLOOKUP(F34,TableLibraryBarriers[Type],TableLibraryBarriers[ModuleLength]),""))</f>
        <v/>
      </c>
      <c r="Q34" t="str">
        <f>IF(F34="","",IFERROR(_xlfn.XLOOKUP(F34,TableLibraryBarriers[Type],TableLibraryBarriers[Height]),""))</f>
        <v/>
      </c>
      <c r="R34" t="str">
        <f>IF(F34="","",IFERROR(_xlfn.XLOOKUP(F34,TableLibraryBarriers[Type],TableLibraryBarriers[Width]),""))</f>
        <v/>
      </c>
      <c r="S34" t="str">
        <f>IF(F34="","",IFERROR(_xlfn.XLOOKUP(F34,TableLibraryBarriers[Type],TableLibraryBarriers[ContainmentLevel]),""))</f>
        <v/>
      </c>
      <c r="T34" t="str">
        <f>IF(F34="","",IFERROR(_xlfn.XLOOKUP(F34,TableLibraryBarriers[Type],TableLibraryBarriers[WorkingWidth]),""))</f>
        <v/>
      </c>
      <c r="U34" t="str">
        <f>IF(F34="","",IFERROR(_xlfn.XLOOKUP(F34,TableLibraryBarriers[Type],TableLibraryBarriers[Layer]),""))</f>
        <v/>
      </c>
      <c r="V34" t="str">
        <f>IF(F34="","",IFERROR(_xlfn.XLOOKUP(F34,TableLibraryBarriers[Type],TableLibraryBarriers[TimeUnitLength(h)]),""))</f>
        <v/>
      </c>
      <c r="W34" t="str">
        <f>IF(F34="","",IFERROR(_xlfn.XLOOKUP(F34,TableLibraryBarriers[Type],TableLibraryBarriers[CostUnitLength]),""))</f>
        <v/>
      </c>
      <c r="X34" t="str">
        <f>IF(F34="","",IFERROR(_xlfn.XLOOKUP(F34,TableLibraryBarriers[Type],TableLibraryBarriers[Notes]),""))</f>
        <v/>
      </c>
      <c r="Y34" s="19"/>
      <c r="Z34" s="19"/>
    </row>
    <row r="35" spans="1:26">
      <c r="A35" t="str">
        <f t="shared" si="0"/>
        <v/>
      </c>
      <c r="C35" s="21"/>
      <c r="D35" s="21"/>
      <c r="E35" s="19"/>
      <c r="G35" s="16" t="str">
        <f>IF(BarriersTable[[#This Row],[PKStartValue]]="","",IF(C35="","",INT(C35/1000)&amp;"+"&amp;TEXT(MOD(C35,1000),"000.00")))</f>
        <v/>
      </c>
      <c r="H35" s="16" t="str">
        <f>IF(BarriersTable[[#This Row],[PKEndValue]]="","",IF(D35="","",INT(D35/1000)&amp;"+"&amp;TEXT(MOD(D35,1000),"000.00")))</f>
        <v/>
      </c>
      <c r="I35" t="str">
        <f>IF(F35="","",IFERROR(_xlfn.XLOOKUP(F35,TableLibraryBarriers[Type],TableLibraryBarriers[BarrierFamily]),""))</f>
        <v/>
      </c>
      <c r="J35" t="str">
        <f>IF(F35="","",IFERROR(_xlfn.XLOOKUP(F35,TableLibraryBarriers[Type],TableLibraryBarriers[BarrierType]),""))</f>
        <v/>
      </c>
      <c r="K35" t="str">
        <f>IF(F35="","",IFERROR(_xlfn.XLOOKUP(F35,TableLibraryBarriers[Type],TableLibraryBarriers[BlockLinear]),""))</f>
        <v/>
      </c>
      <c r="L35" t="str">
        <f>IF(F35="","",IFERROR(_xlfn.XLOOKUP(F35,TableLibraryBarriers[Type],TableLibraryBarriers[BlockPost]),""))</f>
        <v/>
      </c>
      <c r="M35" t="str">
        <f>IF(F35="","",IFERROR(_xlfn.XLOOKUP(F35,TableLibraryBarriers[Type],TableLibraryBarriers[IFCEntity]),""))</f>
        <v/>
      </c>
      <c r="N35" t="str">
        <f>IF(F35="","",IFERROR(_xlfn.XLOOKUP(F35,TableLibraryBarriers[Type],TableLibraryBarriers[Material]),""))</f>
        <v/>
      </c>
      <c r="O35" t="str">
        <f>IF(F35="","",IFERROR(_xlfn.XLOOKUP(F35,TableLibraryBarriers[Type],TableLibraryBarriers[PostSpacing]),""))</f>
        <v/>
      </c>
      <c r="P35" t="str">
        <f>IF(F35="","",IFERROR(_xlfn.XLOOKUP(F35,TableLibraryBarriers[Type],TableLibraryBarriers[ModuleLength]),""))</f>
        <v/>
      </c>
      <c r="Q35" t="str">
        <f>IF(F35="","",IFERROR(_xlfn.XLOOKUP(F35,TableLibraryBarriers[Type],TableLibraryBarriers[Height]),""))</f>
        <v/>
      </c>
      <c r="R35" t="str">
        <f>IF(F35="","",IFERROR(_xlfn.XLOOKUP(F35,TableLibraryBarriers[Type],TableLibraryBarriers[Width]),""))</f>
        <v/>
      </c>
      <c r="S35" t="str">
        <f>IF(F35="","",IFERROR(_xlfn.XLOOKUP(F35,TableLibraryBarriers[Type],TableLibraryBarriers[ContainmentLevel]),""))</f>
        <v/>
      </c>
      <c r="T35" t="str">
        <f>IF(F35="","",IFERROR(_xlfn.XLOOKUP(F35,TableLibraryBarriers[Type],TableLibraryBarriers[WorkingWidth]),""))</f>
        <v/>
      </c>
      <c r="U35" t="str">
        <f>IF(F35="","",IFERROR(_xlfn.XLOOKUP(F35,TableLibraryBarriers[Type],TableLibraryBarriers[Layer]),""))</f>
        <v/>
      </c>
      <c r="V35" t="str">
        <f>IF(F35="","",IFERROR(_xlfn.XLOOKUP(F35,TableLibraryBarriers[Type],TableLibraryBarriers[TimeUnitLength(h)]),""))</f>
        <v/>
      </c>
      <c r="W35" t="str">
        <f>IF(F35="","",IFERROR(_xlfn.XLOOKUP(F35,TableLibraryBarriers[Type],TableLibraryBarriers[CostUnitLength]),""))</f>
        <v/>
      </c>
      <c r="X35" t="str">
        <f>IF(F35="","",IFERROR(_xlfn.XLOOKUP(F35,TableLibraryBarriers[Type],TableLibraryBarriers[Notes]),""))</f>
        <v/>
      </c>
      <c r="Y35" s="19"/>
      <c r="Z35" s="19"/>
    </row>
    <row r="36" spans="1:26">
      <c r="A36" t="str">
        <f t="shared" si="0"/>
        <v/>
      </c>
      <c r="C36" s="21"/>
      <c r="D36" s="21"/>
      <c r="E36" s="19"/>
      <c r="G36" s="16" t="str">
        <f>IF(BarriersTable[[#This Row],[PKStartValue]]="","",IF(C36="","",INT(C36/1000)&amp;"+"&amp;TEXT(MOD(C36,1000),"000.00")))</f>
        <v/>
      </c>
      <c r="H36" s="16" t="str">
        <f>IF(BarriersTable[[#This Row],[PKEndValue]]="","",IF(D36="","",INT(D36/1000)&amp;"+"&amp;TEXT(MOD(D36,1000),"000.00")))</f>
        <v/>
      </c>
      <c r="I36" t="str">
        <f>IF(F36="","",IFERROR(_xlfn.XLOOKUP(F36,TableLibraryBarriers[Type],TableLibraryBarriers[BarrierFamily]),""))</f>
        <v/>
      </c>
      <c r="J36" t="str">
        <f>IF(F36="","",IFERROR(_xlfn.XLOOKUP(F36,TableLibraryBarriers[Type],TableLibraryBarriers[BarrierType]),""))</f>
        <v/>
      </c>
      <c r="K36" t="str">
        <f>IF(F36="","",IFERROR(_xlfn.XLOOKUP(F36,TableLibraryBarriers[Type],TableLibraryBarriers[BlockLinear]),""))</f>
        <v/>
      </c>
      <c r="L36" t="str">
        <f>IF(F36="","",IFERROR(_xlfn.XLOOKUP(F36,TableLibraryBarriers[Type],TableLibraryBarriers[BlockPost]),""))</f>
        <v/>
      </c>
      <c r="M36" t="str">
        <f>IF(F36="","",IFERROR(_xlfn.XLOOKUP(F36,TableLibraryBarriers[Type],TableLibraryBarriers[IFCEntity]),""))</f>
        <v/>
      </c>
      <c r="N36" t="str">
        <f>IF(F36="","",IFERROR(_xlfn.XLOOKUP(F36,TableLibraryBarriers[Type],TableLibraryBarriers[Material]),""))</f>
        <v/>
      </c>
      <c r="O36" t="str">
        <f>IF(F36="","",IFERROR(_xlfn.XLOOKUP(F36,TableLibraryBarriers[Type],TableLibraryBarriers[PostSpacing]),""))</f>
        <v/>
      </c>
      <c r="P36" t="str">
        <f>IF(F36="","",IFERROR(_xlfn.XLOOKUP(F36,TableLibraryBarriers[Type],TableLibraryBarriers[ModuleLength]),""))</f>
        <v/>
      </c>
      <c r="Q36" t="str">
        <f>IF(F36="","",IFERROR(_xlfn.XLOOKUP(F36,TableLibraryBarriers[Type],TableLibraryBarriers[Height]),""))</f>
        <v/>
      </c>
      <c r="R36" t="str">
        <f>IF(F36="","",IFERROR(_xlfn.XLOOKUP(F36,TableLibraryBarriers[Type],TableLibraryBarriers[Width]),""))</f>
        <v/>
      </c>
      <c r="S36" t="str">
        <f>IF(F36="","",IFERROR(_xlfn.XLOOKUP(F36,TableLibraryBarriers[Type],TableLibraryBarriers[ContainmentLevel]),""))</f>
        <v/>
      </c>
      <c r="T36" t="str">
        <f>IF(F36="","",IFERROR(_xlfn.XLOOKUP(F36,TableLibraryBarriers[Type],TableLibraryBarriers[WorkingWidth]),""))</f>
        <v/>
      </c>
      <c r="U36" t="str">
        <f>IF(F36="","",IFERROR(_xlfn.XLOOKUP(F36,TableLibraryBarriers[Type],TableLibraryBarriers[Layer]),""))</f>
        <v/>
      </c>
      <c r="V36" t="str">
        <f>IF(F36="","",IFERROR(_xlfn.XLOOKUP(F36,TableLibraryBarriers[Type],TableLibraryBarriers[TimeUnitLength(h)]),""))</f>
        <v/>
      </c>
      <c r="W36" t="str">
        <f>IF(F36="","",IFERROR(_xlfn.XLOOKUP(F36,TableLibraryBarriers[Type],TableLibraryBarriers[CostUnitLength]),""))</f>
        <v/>
      </c>
      <c r="X36" t="str">
        <f>IF(F36="","",IFERROR(_xlfn.XLOOKUP(F36,TableLibraryBarriers[Type],TableLibraryBarriers[Notes]),""))</f>
        <v/>
      </c>
      <c r="Y36" s="19"/>
      <c r="Z36" s="19"/>
    </row>
    <row r="37" spans="1:26">
      <c r="A37" t="str">
        <f t="shared" si="0"/>
        <v/>
      </c>
      <c r="C37" s="21"/>
      <c r="D37" s="21"/>
      <c r="E37" s="19"/>
      <c r="G37" s="16" t="str">
        <f>IF(BarriersTable[[#This Row],[PKStartValue]]="","",IF(C37="","",INT(C37/1000)&amp;"+"&amp;TEXT(MOD(C37,1000),"000.00")))</f>
        <v/>
      </c>
      <c r="H37" s="16" t="str">
        <f>IF(BarriersTable[[#This Row],[PKEndValue]]="","",IF(D37="","",INT(D37/1000)&amp;"+"&amp;TEXT(MOD(D37,1000),"000.00")))</f>
        <v/>
      </c>
      <c r="I37" t="str">
        <f>IF(F37="","",IFERROR(_xlfn.XLOOKUP(F37,TableLibraryBarriers[Type],TableLibraryBarriers[BarrierFamily]),""))</f>
        <v/>
      </c>
      <c r="J37" t="str">
        <f>IF(F37="","",IFERROR(_xlfn.XLOOKUP(F37,TableLibraryBarriers[Type],TableLibraryBarriers[BarrierType]),""))</f>
        <v/>
      </c>
      <c r="K37" t="str">
        <f>IF(F37="","",IFERROR(_xlfn.XLOOKUP(F37,TableLibraryBarriers[Type],TableLibraryBarriers[BlockLinear]),""))</f>
        <v/>
      </c>
      <c r="L37" t="str">
        <f>IF(F37="","",IFERROR(_xlfn.XLOOKUP(F37,TableLibraryBarriers[Type],TableLibraryBarriers[BlockPost]),""))</f>
        <v/>
      </c>
      <c r="M37" t="str">
        <f>IF(F37="","",IFERROR(_xlfn.XLOOKUP(F37,TableLibraryBarriers[Type],TableLibraryBarriers[IFCEntity]),""))</f>
        <v/>
      </c>
      <c r="N37" t="str">
        <f>IF(F37="","",IFERROR(_xlfn.XLOOKUP(F37,TableLibraryBarriers[Type],TableLibraryBarriers[Material]),""))</f>
        <v/>
      </c>
      <c r="O37" t="str">
        <f>IF(F37="","",IFERROR(_xlfn.XLOOKUP(F37,TableLibraryBarriers[Type],TableLibraryBarriers[PostSpacing]),""))</f>
        <v/>
      </c>
      <c r="P37" t="str">
        <f>IF(F37="","",IFERROR(_xlfn.XLOOKUP(F37,TableLibraryBarriers[Type],TableLibraryBarriers[ModuleLength]),""))</f>
        <v/>
      </c>
      <c r="Q37" t="str">
        <f>IF(F37="","",IFERROR(_xlfn.XLOOKUP(F37,TableLibraryBarriers[Type],TableLibraryBarriers[Height]),""))</f>
        <v/>
      </c>
      <c r="R37" t="str">
        <f>IF(F37="","",IFERROR(_xlfn.XLOOKUP(F37,TableLibraryBarriers[Type],TableLibraryBarriers[Width]),""))</f>
        <v/>
      </c>
      <c r="S37" t="str">
        <f>IF(F37="","",IFERROR(_xlfn.XLOOKUP(F37,TableLibraryBarriers[Type],TableLibraryBarriers[ContainmentLevel]),""))</f>
        <v/>
      </c>
      <c r="T37" t="str">
        <f>IF(F37="","",IFERROR(_xlfn.XLOOKUP(F37,TableLibraryBarriers[Type],TableLibraryBarriers[WorkingWidth]),""))</f>
        <v/>
      </c>
      <c r="U37" t="str">
        <f>IF(F37="","",IFERROR(_xlfn.XLOOKUP(F37,TableLibraryBarriers[Type],TableLibraryBarriers[Layer]),""))</f>
        <v/>
      </c>
      <c r="V37" t="str">
        <f>IF(F37="","",IFERROR(_xlfn.XLOOKUP(F37,TableLibraryBarriers[Type],TableLibraryBarriers[TimeUnitLength(h)]),""))</f>
        <v/>
      </c>
      <c r="W37" t="str">
        <f>IF(F37="","",IFERROR(_xlfn.XLOOKUP(F37,TableLibraryBarriers[Type],TableLibraryBarriers[CostUnitLength]),""))</f>
        <v/>
      </c>
      <c r="X37" t="str">
        <f>IF(F37="","",IFERROR(_xlfn.XLOOKUP(F37,TableLibraryBarriers[Type],TableLibraryBarriers[Notes]),""))</f>
        <v/>
      </c>
      <c r="Y37" s="19"/>
      <c r="Z37" s="19"/>
    </row>
    <row r="38" spans="1:26">
      <c r="A38" t="str">
        <f t="shared" si="0"/>
        <v/>
      </c>
      <c r="C38" s="21"/>
      <c r="D38" s="21"/>
      <c r="E38" s="19"/>
      <c r="G38" s="16" t="str">
        <f>IF(BarriersTable[[#This Row],[PKStartValue]]="","",IF(C38="","",INT(C38/1000)&amp;"+"&amp;TEXT(MOD(C38,1000),"000.00")))</f>
        <v/>
      </c>
      <c r="H38" s="16" t="str">
        <f>IF(BarriersTable[[#This Row],[PKEndValue]]="","",IF(D38="","",INT(D38/1000)&amp;"+"&amp;TEXT(MOD(D38,1000),"000.00")))</f>
        <v/>
      </c>
      <c r="I38" t="str">
        <f>IF(F38="","",IFERROR(_xlfn.XLOOKUP(F38,TableLibraryBarriers[Type],TableLibraryBarriers[BarrierFamily]),""))</f>
        <v/>
      </c>
      <c r="J38" t="str">
        <f>IF(F38="","",IFERROR(_xlfn.XLOOKUP(F38,TableLibraryBarriers[Type],TableLibraryBarriers[BarrierType]),""))</f>
        <v/>
      </c>
      <c r="K38" t="str">
        <f>IF(F38="","",IFERROR(_xlfn.XLOOKUP(F38,TableLibraryBarriers[Type],TableLibraryBarriers[BlockLinear]),""))</f>
        <v/>
      </c>
      <c r="L38" t="str">
        <f>IF(F38="","",IFERROR(_xlfn.XLOOKUP(F38,TableLibraryBarriers[Type],TableLibraryBarriers[BlockPost]),""))</f>
        <v/>
      </c>
      <c r="M38" t="str">
        <f>IF(F38="","",IFERROR(_xlfn.XLOOKUP(F38,TableLibraryBarriers[Type],TableLibraryBarriers[IFCEntity]),""))</f>
        <v/>
      </c>
      <c r="N38" t="str">
        <f>IF(F38="","",IFERROR(_xlfn.XLOOKUP(F38,TableLibraryBarriers[Type],TableLibraryBarriers[Material]),""))</f>
        <v/>
      </c>
      <c r="O38" t="str">
        <f>IF(F38="","",IFERROR(_xlfn.XLOOKUP(F38,TableLibraryBarriers[Type],TableLibraryBarriers[PostSpacing]),""))</f>
        <v/>
      </c>
      <c r="P38" t="str">
        <f>IF(F38="","",IFERROR(_xlfn.XLOOKUP(F38,TableLibraryBarriers[Type],TableLibraryBarriers[ModuleLength]),""))</f>
        <v/>
      </c>
      <c r="Q38" t="str">
        <f>IF(F38="","",IFERROR(_xlfn.XLOOKUP(F38,TableLibraryBarriers[Type],TableLibraryBarriers[Height]),""))</f>
        <v/>
      </c>
      <c r="R38" t="str">
        <f>IF(F38="","",IFERROR(_xlfn.XLOOKUP(F38,TableLibraryBarriers[Type],TableLibraryBarriers[Width]),""))</f>
        <v/>
      </c>
      <c r="S38" t="str">
        <f>IF(F38="","",IFERROR(_xlfn.XLOOKUP(F38,TableLibraryBarriers[Type],TableLibraryBarriers[ContainmentLevel]),""))</f>
        <v/>
      </c>
      <c r="T38" t="str">
        <f>IF(F38="","",IFERROR(_xlfn.XLOOKUP(F38,TableLibraryBarriers[Type],TableLibraryBarriers[WorkingWidth]),""))</f>
        <v/>
      </c>
      <c r="U38" t="str">
        <f>IF(F38="","",IFERROR(_xlfn.XLOOKUP(F38,TableLibraryBarriers[Type],TableLibraryBarriers[Layer]),""))</f>
        <v/>
      </c>
      <c r="V38" t="str">
        <f>IF(F38="","",IFERROR(_xlfn.XLOOKUP(F38,TableLibraryBarriers[Type],TableLibraryBarriers[TimeUnitLength(h)]),""))</f>
        <v/>
      </c>
      <c r="W38" t="str">
        <f>IF(F38="","",IFERROR(_xlfn.XLOOKUP(F38,TableLibraryBarriers[Type],TableLibraryBarriers[CostUnitLength]),""))</f>
        <v/>
      </c>
      <c r="X38" t="str">
        <f>IF(F38="","",IFERROR(_xlfn.XLOOKUP(F38,TableLibraryBarriers[Type],TableLibraryBarriers[Notes]),""))</f>
        <v/>
      </c>
      <c r="Y38" s="19"/>
      <c r="Z38" s="19"/>
    </row>
    <row r="39" spans="1:26">
      <c r="A39" t="str">
        <f t="shared" si="0"/>
        <v/>
      </c>
      <c r="C39" s="21"/>
      <c r="D39" s="21"/>
      <c r="E39" s="19"/>
      <c r="G39" s="16" t="str">
        <f>IF(BarriersTable[[#This Row],[PKStartValue]]="","",IF(C39="","",INT(C39/1000)&amp;"+"&amp;TEXT(MOD(C39,1000),"000.00")))</f>
        <v/>
      </c>
      <c r="H39" s="16" t="str">
        <f>IF(BarriersTable[[#This Row],[PKEndValue]]="","",IF(D39="","",INT(D39/1000)&amp;"+"&amp;TEXT(MOD(D39,1000),"000.00")))</f>
        <v/>
      </c>
      <c r="I39" t="str">
        <f>IF(F39="","",IFERROR(_xlfn.XLOOKUP(F39,TableLibraryBarriers[Type],TableLibraryBarriers[BarrierFamily]),""))</f>
        <v/>
      </c>
      <c r="J39" t="str">
        <f>IF(F39="","",IFERROR(_xlfn.XLOOKUP(F39,TableLibraryBarriers[Type],TableLibraryBarriers[BarrierType]),""))</f>
        <v/>
      </c>
      <c r="K39" t="str">
        <f>IF(F39="","",IFERROR(_xlfn.XLOOKUP(F39,TableLibraryBarriers[Type],TableLibraryBarriers[BlockLinear]),""))</f>
        <v/>
      </c>
      <c r="L39" t="str">
        <f>IF(F39="","",IFERROR(_xlfn.XLOOKUP(F39,TableLibraryBarriers[Type],TableLibraryBarriers[BlockPost]),""))</f>
        <v/>
      </c>
      <c r="M39" t="str">
        <f>IF(F39="","",IFERROR(_xlfn.XLOOKUP(F39,TableLibraryBarriers[Type],TableLibraryBarriers[IFCEntity]),""))</f>
        <v/>
      </c>
      <c r="N39" t="str">
        <f>IF(F39="","",IFERROR(_xlfn.XLOOKUP(F39,TableLibraryBarriers[Type],TableLibraryBarriers[Material]),""))</f>
        <v/>
      </c>
      <c r="O39" t="str">
        <f>IF(F39="","",IFERROR(_xlfn.XLOOKUP(F39,TableLibraryBarriers[Type],TableLibraryBarriers[PostSpacing]),""))</f>
        <v/>
      </c>
      <c r="P39" t="str">
        <f>IF(F39="","",IFERROR(_xlfn.XLOOKUP(F39,TableLibraryBarriers[Type],TableLibraryBarriers[ModuleLength]),""))</f>
        <v/>
      </c>
      <c r="Q39" t="str">
        <f>IF(F39="","",IFERROR(_xlfn.XLOOKUP(F39,TableLibraryBarriers[Type],TableLibraryBarriers[Height]),""))</f>
        <v/>
      </c>
      <c r="R39" t="str">
        <f>IF(F39="","",IFERROR(_xlfn.XLOOKUP(F39,TableLibraryBarriers[Type],TableLibraryBarriers[Width]),""))</f>
        <v/>
      </c>
      <c r="S39" t="str">
        <f>IF(F39="","",IFERROR(_xlfn.XLOOKUP(F39,TableLibraryBarriers[Type],TableLibraryBarriers[ContainmentLevel]),""))</f>
        <v/>
      </c>
      <c r="T39" t="str">
        <f>IF(F39="","",IFERROR(_xlfn.XLOOKUP(F39,TableLibraryBarriers[Type],TableLibraryBarriers[WorkingWidth]),""))</f>
        <v/>
      </c>
      <c r="U39" t="str">
        <f>IF(F39="","",IFERROR(_xlfn.XLOOKUP(F39,TableLibraryBarriers[Type],TableLibraryBarriers[Layer]),""))</f>
        <v/>
      </c>
      <c r="V39" t="str">
        <f>IF(F39="","",IFERROR(_xlfn.XLOOKUP(F39,TableLibraryBarriers[Type],TableLibraryBarriers[TimeUnitLength(h)]),""))</f>
        <v/>
      </c>
      <c r="W39" t="str">
        <f>IF(F39="","",IFERROR(_xlfn.XLOOKUP(F39,TableLibraryBarriers[Type],TableLibraryBarriers[CostUnitLength]),""))</f>
        <v/>
      </c>
      <c r="X39" t="str">
        <f>IF(F39="","",IFERROR(_xlfn.XLOOKUP(F39,TableLibraryBarriers[Type],TableLibraryBarriers[Notes]),""))</f>
        <v/>
      </c>
      <c r="Y39" s="19"/>
      <c r="Z39" s="19"/>
    </row>
    <row r="40" spans="1:26">
      <c r="A40" t="str">
        <f t="shared" si="0"/>
        <v/>
      </c>
      <c r="C40" s="21"/>
      <c r="D40" s="21"/>
      <c r="E40" s="19"/>
      <c r="G40" s="16" t="str">
        <f>IF(BarriersTable[[#This Row],[PKStartValue]]="","",IF(C40="","",INT(C40/1000)&amp;"+"&amp;TEXT(MOD(C40,1000),"000.00")))</f>
        <v/>
      </c>
      <c r="H40" s="16" t="str">
        <f>IF(BarriersTable[[#This Row],[PKEndValue]]="","",IF(D40="","",INT(D40/1000)&amp;"+"&amp;TEXT(MOD(D40,1000),"000.00")))</f>
        <v/>
      </c>
      <c r="I40" t="str">
        <f>IF(F40="","",IFERROR(_xlfn.XLOOKUP(F40,TableLibraryBarriers[Type],TableLibraryBarriers[BarrierFamily]),""))</f>
        <v/>
      </c>
      <c r="J40" t="str">
        <f>IF(F40="","",IFERROR(_xlfn.XLOOKUP(F40,TableLibraryBarriers[Type],TableLibraryBarriers[BarrierType]),""))</f>
        <v/>
      </c>
      <c r="K40" t="str">
        <f>IF(F40="","",IFERROR(_xlfn.XLOOKUP(F40,TableLibraryBarriers[Type],TableLibraryBarriers[BlockLinear]),""))</f>
        <v/>
      </c>
      <c r="L40" t="str">
        <f>IF(F40="","",IFERROR(_xlfn.XLOOKUP(F40,TableLibraryBarriers[Type],TableLibraryBarriers[BlockPost]),""))</f>
        <v/>
      </c>
      <c r="M40" t="str">
        <f>IF(F40="","",IFERROR(_xlfn.XLOOKUP(F40,TableLibraryBarriers[Type],TableLibraryBarriers[IFCEntity]),""))</f>
        <v/>
      </c>
      <c r="N40" t="str">
        <f>IF(F40="","",IFERROR(_xlfn.XLOOKUP(F40,TableLibraryBarriers[Type],TableLibraryBarriers[Material]),""))</f>
        <v/>
      </c>
      <c r="O40" t="str">
        <f>IF(F40="","",IFERROR(_xlfn.XLOOKUP(F40,TableLibraryBarriers[Type],TableLibraryBarriers[PostSpacing]),""))</f>
        <v/>
      </c>
      <c r="P40" t="str">
        <f>IF(F40="","",IFERROR(_xlfn.XLOOKUP(F40,TableLibraryBarriers[Type],TableLibraryBarriers[ModuleLength]),""))</f>
        <v/>
      </c>
      <c r="Q40" t="str">
        <f>IF(F40="","",IFERROR(_xlfn.XLOOKUP(F40,TableLibraryBarriers[Type],TableLibraryBarriers[Height]),""))</f>
        <v/>
      </c>
      <c r="R40" t="str">
        <f>IF(F40="","",IFERROR(_xlfn.XLOOKUP(F40,TableLibraryBarriers[Type],TableLibraryBarriers[Width]),""))</f>
        <v/>
      </c>
      <c r="S40" t="str">
        <f>IF(F40="","",IFERROR(_xlfn.XLOOKUP(F40,TableLibraryBarriers[Type],TableLibraryBarriers[ContainmentLevel]),""))</f>
        <v/>
      </c>
      <c r="T40" t="str">
        <f>IF(F40="","",IFERROR(_xlfn.XLOOKUP(F40,TableLibraryBarriers[Type],TableLibraryBarriers[WorkingWidth]),""))</f>
        <v/>
      </c>
      <c r="U40" t="str">
        <f>IF(F40="","",IFERROR(_xlfn.XLOOKUP(F40,TableLibraryBarriers[Type],TableLibraryBarriers[Layer]),""))</f>
        <v/>
      </c>
      <c r="V40" t="str">
        <f>IF(F40="","",IFERROR(_xlfn.XLOOKUP(F40,TableLibraryBarriers[Type],TableLibraryBarriers[TimeUnitLength(h)]),""))</f>
        <v/>
      </c>
      <c r="W40" t="str">
        <f>IF(F40="","",IFERROR(_xlfn.XLOOKUP(F40,TableLibraryBarriers[Type],TableLibraryBarriers[CostUnitLength]),""))</f>
        <v/>
      </c>
      <c r="X40" t="str">
        <f>IF(F40="","",IFERROR(_xlfn.XLOOKUP(F40,TableLibraryBarriers[Type],TableLibraryBarriers[Notes]),""))</f>
        <v/>
      </c>
      <c r="Y40" s="19"/>
      <c r="Z40" s="19"/>
    </row>
    <row r="41" spans="1:26">
      <c r="A41" t="str">
        <f t="shared" si="0"/>
        <v/>
      </c>
      <c r="C41" s="21"/>
      <c r="D41" s="21"/>
      <c r="E41" s="19"/>
      <c r="G41" s="16" t="str">
        <f>IF(BarriersTable[[#This Row],[PKStartValue]]="","",IF(C41="","",INT(C41/1000)&amp;"+"&amp;TEXT(MOD(C41,1000),"000.00")))</f>
        <v/>
      </c>
      <c r="H41" s="16" t="str">
        <f>IF(BarriersTable[[#This Row],[PKEndValue]]="","",IF(D41="","",INT(D41/1000)&amp;"+"&amp;TEXT(MOD(D41,1000),"000.00")))</f>
        <v/>
      </c>
      <c r="I41" t="str">
        <f>IF(F41="","",IFERROR(_xlfn.XLOOKUP(F41,TableLibraryBarriers[Type],TableLibraryBarriers[BarrierFamily]),""))</f>
        <v/>
      </c>
      <c r="J41" t="str">
        <f>IF(F41="","",IFERROR(_xlfn.XLOOKUP(F41,TableLibraryBarriers[Type],TableLibraryBarriers[BarrierType]),""))</f>
        <v/>
      </c>
      <c r="K41" t="str">
        <f>IF(F41="","",IFERROR(_xlfn.XLOOKUP(F41,TableLibraryBarriers[Type],TableLibraryBarriers[BlockLinear]),""))</f>
        <v/>
      </c>
      <c r="L41" t="str">
        <f>IF(F41="","",IFERROR(_xlfn.XLOOKUP(F41,TableLibraryBarriers[Type],TableLibraryBarriers[BlockPost]),""))</f>
        <v/>
      </c>
      <c r="M41" t="str">
        <f>IF(F41="","",IFERROR(_xlfn.XLOOKUP(F41,TableLibraryBarriers[Type],TableLibraryBarriers[IFCEntity]),""))</f>
        <v/>
      </c>
      <c r="N41" t="str">
        <f>IF(F41="","",IFERROR(_xlfn.XLOOKUP(F41,TableLibraryBarriers[Type],TableLibraryBarriers[Material]),""))</f>
        <v/>
      </c>
      <c r="O41" t="str">
        <f>IF(F41="","",IFERROR(_xlfn.XLOOKUP(F41,TableLibraryBarriers[Type],TableLibraryBarriers[PostSpacing]),""))</f>
        <v/>
      </c>
      <c r="P41" t="str">
        <f>IF(F41="","",IFERROR(_xlfn.XLOOKUP(F41,TableLibraryBarriers[Type],TableLibraryBarriers[ModuleLength]),""))</f>
        <v/>
      </c>
      <c r="Q41" t="str">
        <f>IF(F41="","",IFERROR(_xlfn.XLOOKUP(F41,TableLibraryBarriers[Type],TableLibraryBarriers[Height]),""))</f>
        <v/>
      </c>
      <c r="R41" t="str">
        <f>IF(F41="","",IFERROR(_xlfn.XLOOKUP(F41,TableLibraryBarriers[Type],TableLibraryBarriers[Width]),""))</f>
        <v/>
      </c>
      <c r="S41" t="str">
        <f>IF(F41="","",IFERROR(_xlfn.XLOOKUP(F41,TableLibraryBarriers[Type],TableLibraryBarriers[ContainmentLevel]),""))</f>
        <v/>
      </c>
      <c r="T41" t="str">
        <f>IF(F41="","",IFERROR(_xlfn.XLOOKUP(F41,TableLibraryBarriers[Type],TableLibraryBarriers[WorkingWidth]),""))</f>
        <v/>
      </c>
      <c r="U41" t="str">
        <f>IF(F41="","",IFERROR(_xlfn.XLOOKUP(F41,TableLibraryBarriers[Type],TableLibraryBarriers[Layer]),""))</f>
        <v/>
      </c>
      <c r="V41" t="str">
        <f>IF(F41="","",IFERROR(_xlfn.XLOOKUP(F41,TableLibraryBarriers[Type],TableLibraryBarriers[TimeUnitLength(h)]),""))</f>
        <v/>
      </c>
      <c r="W41" t="str">
        <f>IF(F41="","",IFERROR(_xlfn.XLOOKUP(F41,TableLibraryBarriers[Type],TableLibraryBarriers[CostUnitLength]),""))</f>
        <v/>
      </c>
      <c r="X41" t="str">
        <f>IF(F41="","",IFERROR(_xlfn.XLOOKUP(F41,TableLibraryBarriers[Type],TableLibraryBarriers[Notes]),""))</f>
        <v/>
      </c>
      <c r="Y41" s="19"/>
      <c r="Z41" s="19"/>
    </row>
    <row r="42" spans="1:26">
      <c r="A42" t="str">
        <f t="shared" si="0"/>
        <v/>
      </c>
      <c r="C42" s="21"/>
      <c r="D42" s="21"/>
      <c r="E42" s="19"/>
      <c r="G42" s="16" t="str">
        <f>IF(BarriersTable[[#This Row],[PKStartValue]]="","",IF(C42="","",INT(C42/1000)&amp;"+"&amp;TEXT(MOD(C42,1000),"000.00")))</f>
        <v/>
      </c>
      <c r="H42" s="16" t="str">
        <f>IF(BarriersTable[[#This Row],[PKEndValue]]="","",IF(D42="","",INT(D42/1000)&amp;"+"&amp;TEXT(MOD(D42,1000),"000.00")))</f>
        <v/>
      </c>
      <c r="I42" t="str">
        <f>IF(F42="","",IFERROR(_xlfn.XLOOKUP(F42,TableLibraryBarriers[Type],TableLibraryBarriers[BarrierFamily]),""))</f>
        <v/>
      </c>
      <c r="J42" t="str">
        <f>IF(F42="","",IFERROR(_xlfn.XLOOKUP(F42,TableLibraryBarriers[Type],TableLibraryBarriers[BarrierType]),""))</f>
        <v/>
      </c>
      <c r="K42" t="str">
        <f>IF(F42="","",IFERROR(_xlfn.XLOOKUP(F42,TableLibraryBarriers[Type],TableLibraryBarriers[BlockLinear]),""))</f>
        <v/>
      </c>
      <c r="L42" t="str">
        <f>IF(F42="","",IFERROR(_xlfn.XLOOKUP(F42,TableLibraryBarriers[Type],TableLibraryBarriers[BlockPost]),""))</f>
        <v/>
      </c>
      <c r="M42" t="str">
        <f>IF(F42="","",IFERROR(_xlfn.XLOOKUP(F42,TableLibraryBarriers[Type],TableLibraryBarriers[IFCEntity]),""))</f>
        <v/>
      </c>
      <c r="N42" t="str">
        <f>IF(F42="","",IFERROR(_xlfn.XLOOKUP(F42,TableLibraryBarriers[Type],TableLibraryBarriers[Material]),""))</f>
        <v/>
      </c>
      <c r="O42" t="str">
        <f>IF(F42="","",IFERROR(_xlfn.XLOOKUP(F42,TableLibraryBarriers[Type],TableLibraryBarriers[PostSpacing]),""))</f>
        <v/>
      </c>
      <c r="P42" t="str">
        <f>IF(F42="","",IFERROR(_xlfn.XLOOKUP(F42,TableLibraryBarriers[Type],TableLibraryBarriers[ModuleLength]),""))</f>
        <v/>
      </c>
      <c r="Q42" t="str">
        <f>IF(F42="","",IFERROR(_xlfn.XLOOKUP(F42,TableLibraryBarriers[Type],TableLibraryBarriers[Height]),""))</f>
        <v/>
      </c>
      <c r="R42" t="str">
        <f>IF(F42="","",IFERROR(_xlfn.XLOOKUP(F42,TableLibraryBarriers[Type],TableLibraryBarriers[Width]),""))</f>
        <v/>
      </c>
      <c r="S42" t="str">
        <f>IF(F42="","",IFERROR(_xlfn.XLOOKUP(F42,TableLibraryBarriers[Type],TableLibraryBarriers[ContainmentLevel]),""))</f>
        <v/>
      </c>
      <c r="T42" t="str">
        <f>IF(F42="","",IFERROR(_xlfn.XLOOKUP(F42,TableLibraryBarriers[Type],TableLibraryBarriers[WorkingWidth]),""))</f>
        <v/>
      </c>
      <c r="U42" t="str">
        <f>IF(F42="","",IFERROR(_xlfn.XLOOKUP(F42,TableLibraryBarriers[Type],TableLibraryBarriers[Layer]),""))</f>
        <v/>
      </c>
      <c r="V42" t="str">
        <f>IF(F42="","",IFERROR(_xlfn.XLOOKUP(F42,TableLibraryBarriers[Type],TableLibraryBarriers[TimeUnitLength(h)]),""))</f>
        <v/>
      </c>
      <c r="W42" t="str">
        <f>IF(F42="","",IFERROR(_xlfn.XLOOKUP(F42,TableLibraryBarriers[Type],TableLibraryBarriers[CostUnitLength]),""))</f>
        <v/>
      </c>
      <c r="X42" t="str">
        <f>IF(F42="","",IFERROR(_xlfn.XLOOKUP(F42,TableLibraryBarriers[Type],TableLibraryBarriers[Notes]),""))</f>
        <v/>
      </c>
      <c r="Y42" s="19"/>
      <c r="Z42" s="19"/>
    </row>
    <row r="43" spans="1:26">
      <c r="A43" t="str">
        <f t="shared" si="0"/>
        <v/>
      </c>
      <c r="C43" s="21"/>
      <c r="D43" s="21"/>
      <c r="E43" s="19"/>
      <c r="G43" s="16" t="str">
        <f>IF(BarriersTable[[#This Row],[PKStartValue]]="","",IF(C43="","",INT(C43/1000)&amp;"+"&amp;TEXT(MOD(C43,1000),"000.00")))</f>
        <v/>
      </c>
      <c r="H43" s="16" t="str">
        <f>IF(BarriersTable[[#This Row],[PKEndValue]]="","",IF(D43="","",INT(D43/1000)&amp;"+"&amp;TEXT(MOD(D43,1000),"000.00")))</f>
        <v/>
      </c>
      <c r="I43" t="str">
        <f>IF(F43="","",IFERROR(_xlfn.XLOOKUP(F43,TableLibraryBarriers[Type],TableLibraryBarriers[BarrierFamily]),""))</f>
        <v/>
      </c>
      <c r="J43" t="str">
        <f>IF(F43="","",IFERROR(_xlfn.XLOOKUP(F43,TableLibraryBarriers[Type],TableLibraryBarriers[BarrierType]),""))</f>
        <v/>
      </c>
      <c r="K43" t="str">
        <f>IF(F43="","",IFERROR(_xlfn.XLOOKUP(F43,TableLibraryBarriers[Type],TableLibraryBarriers[BlockLinear]),""))</f>
        <v/>
      </c>
      <c r="L43" t="str">
        <f>IF(F43="","",IFERROR(_xlfn.XLOOKUP(F43,TableLibraryBarriers[Type],TableLibraryBarriers[BlockPost]),""))</f>
        <v/>
      </c>
      <c r="M43" t="str">
        <f>IF(F43="","",IFERROR(_xlfn.XLOOKUP(F43,TableLibraryBarriers[Type],TableLibraryBarriers[IFCEntity]),""))</f>
        <v/>
      </c>
      <c r="N43" t="str">
        <f>IF(F43="","",IFERROR(_xlfn.XLOOKUP(F43,TableLibraryBarriers[Type],TableLibraryBarriers[Material]),""))</f>
        <v/>
      </c>
      <c r="O43" t="str">
        <f>IF(F43="","",IFERROR(_xlfn.XLOOKUP(F43,TableLibraryBarriers[Type],TableLibraryBarriers[PostSpacing]),""))</f>
        <v/>
      </c>
      <c r="P43" t="str">
        <f>IF(F43="","",IFERROR(_xlfn.XLOOKUP(F43,TableLibraryBarriers[Type],TableLibraryBarriers[ModuleLength]),""))</f>
        <v/>
      </c>
      <c r="Q43" t="str">
        <f>IF(F43="","",IFERROR(_xlfn.XLOOKUP(F43,TableLibraryBarriers[Type],TableLibraryBarriers[Height]),""))</f>
        <v/>
      </c>
      <c r="R43" t="str">
        <f>IF(F43="","",IFERROR(_xlfn.XLOOKUP(F43,TableLibraryBarriers[Type],TableLibraryBarriers[Width]),""))</f>
        <v/>
      </c>
      <c r="S43" t="str">
        <f>IF(F43="","",IFERROR(_xlfn.XLOOKUP(F43,TableLibraryBarriers[Type],TableLibraryBarriers[ContainmentLevel]),""))</f>
        <v/>
      </c>
      <c r="T43" t="str">
        <f>IF(F43="","",IFERROR(_xlfn.XLOOKUP(F43,TableLibraryBarriers[Type],TableLibraryBarriers[WorkingWidth]),""))</f>
        <v/>
      </c>
      <c r="U43" t="str">
        <f>IF(F43="","",IFERROR(_xlfn.XLOOKUP(F43,TableLibraryBarriers[Type],TableLibraryBarriers[Layer]),""))</f>
        <v/>
      </c>
      <c r="V43" t="str">
        <f>IF(F43="","",IFERROR(_xlfn.XLOOKUP(F43,TableLibraryBarriers[Type],TableLibraryBarriers[TimeUnitLength(h)]),""))</f>
        <v/>
      </c>
      <c r="W43" t="str">
        <f>IF(F43="","",IFERROR(_xlfn.XLOOKUP(F43,TableLibraryBarriers[Type],TableLibraryBarriers[CostUnitLength]),""))</f>
        <v/>
      </c>
      <c r="X43" t="str">
        <f>IF(F43="","",IFERROR(_xlfn.XLOOKUP(F43,TableLibraryBarriers[Type],TableLibraryBarriers[Notes]),""))</f>
        <v/>
      </c>
      <c r="Y43" s="19"/>
      <c r="Z43" s="19"/>
    </row>
    <row r="44" spans="1:26">
      <c r="A44" t="str">
        <f t="shared" si="0"/>
        <v/>
      </c>
      <c r="C44" s="21"/>
      <c r="D44" s="21"/>
      <c r="E44" s="19"/>
      <c r="G44" s="16" t="str">
        <f>IF(BarriersTable[[#This Row],[PKStartValue]]="","",IF(C44="","",INT(C44/1000)&amp;"+"&amp;TEXT(MOD(C44,1000),"000.00")))</f>
        <v/>
      </c>
      <c r="H44" s="16" t="str">
        <f>IF(BarriersTable[[#This Row],[PKEndValue]]="","",IF(D44="","",INT(D44/1000)&amp;"+"&amp;TEXT(MOD(D44,1000),"000.00")))</f>
        <v/>
      </c>
      <c r="I44" t="str">
        <f>IF(F44="","",IFERROR(_xlfn.XLOOKUP(F44,TableLibraryBarriers[Type],TableLibraryBarriers[BarrierFamily]),""))</f>
        <v/>
      </c>
      <c r="J44" t="str">
        <f>IF(F44="","",IFERROR(_xlfn.XLOOKUP(F44,TableLibraryBarriers[Type],TableLibraryBarriers[BarrierType]),""))</f>
        <v/>
      </c>
      <c r="K44" t="str">
        <f>IF(F44="","",IFERROR(_xlfn.XLOOKUP(F44,TableLibraryBarriers[Type],TableLibraryBarriers[BlockLinear]),""))</f>
        <v/>
      </c>
      <c r="L44" t="str">
        <f>IF(F44="","",IFERROR(_xlfn.XLOOKUP(F44,TableLibraryBarriers[Type],TableLibraryBarriers[BlockPost]),""))</f>
        <v/>
      </c>
      <c r="M44" t="str">
        <f>IF(F44="","",IFERROR(_xlfn.XLOOKUP(F44,TableLibraryBarriers[Type],TableLibraryBarriers[IFCEntity]),""))</f>
        <v/>
      </c>
      <c r="N44" t="str">
        <f>IF(F44="","",IFERROR(_xlfn.XLOOKUP(F44,TableLibraryBarriers[Type],TableLibraryBarriers[Material]),""))</f>
        <v/>
      </c>
      <c r="O44" t="str">
        <f>IF(F44="","",IFERROR(_xlfn.XLOOKUP(F44,TableLibraryBarriers[Type],TableLibraryBarriers[PostSpacing]),""))</f>
        <v/>
      </c>
      <c r="P44" t="str">
        <f>IF(F44="","",IFERROR(_xlfn.XLOOKUP(F44,TableLibraryBarriers[Type],TableLibraryBarriers[ModuleLength]),""))</f>
        <v/>
      </c>
      <c r="Q44" t="str">
        <f>IF(F44="","",IFERROR(_xlfn.XLOOKUP(F44,TableLibraryBarriers[Type],TableLibraryBarriers[Height]),""))</f>
        <v/>
      </c>
      <c r="R44" t="str">
        <f>IF(F44="","",IFERROR(_xlfn.XLOOKUP(F44,TableLibraryBarriers[Type],TableLibraryBarriers[Width]),""))</f>
        <v/>
      </c>
      <c r="S44" t="str">
        <f>IF(F44="","",IFERROR(_xlfn.XLOOKUP(F44,TableLibraryBarriers[Type],TableLibraryBarriers[ContainmentLevel]),""))</f>
        <v/>
      </c>
      <c r="T44" t="str">
        <f>IF(F44="","",IFERROR(_xlfn.XLOOKUP(F44,TableLibraryBarriers[Type],TableLibraryBarriers[WorkingWidth]),""))</f>
        <v/>
      </c>
      <c r="U44" t="str">
        <f>IF(F44="","",IFERROR(_xlfn.XLOOKUP(F44,TableLibraryBarriers[Type],TableLibraryBarriers[Layer]),""))</f>
        <v/>
      </c>
      <c r="V44" t="str">
        <f>IF(F44="","",IFERROR(_xlfn.XLOOKUP(F44,TableLibraryBarriers[Type],TableLibraryBarriers[TimeUnitLength(h)]),""))</f>
        <v/>
      </c>
      <c r="W44" t="str">
        <f>IF(F44="","",IFERROR(_xlfn.XLOOKUP(F44,TableLibraryBarriers[Type],TableLibraryBarriers[CostUnitLength]),""))</f>
        <v/>
      </c>
      <c r="X44" t="str">
        <f>IF(F44="","",IFERROR(_xlfn.XLOOKUP(F44,TableLibraryBarriers[Type],TableLibraryBarriers[Notes]),""))</f>
        <v/>
      </c>
      <c r="Y44" s="19"/>
      <c r="Z44" s="19"/>
    </row>
    <row r="45" spans="1:26">
      <c r="A45" t="str">
        <f t="shared" si="0"/>
        <v/>
      </c>
      <c r="C45" s="21"/>
      <c r="D45" s="21"/>
      <c r="E45" s="19"/>
      <c r="G45" s="16" t="str">
        <f>IF(BarriersTable[[#This Row],[PKStartValue]]="","",IF(C45="","",INT(C45/1000)&amp;"+"&amp;TEXT(MOD(C45,1000),"000.00")))</f>
        <v/>
      </c>
      <c r="H45" s="16" t="str">
        <f>IF(BarriersTable[[#This Row],[PKEndValue]]="","",IF(D45="","",INT(D45/1000)&amp;"+"&amp;TEXT(MOD(D45,1000),"000.00")))</f>
        <v/>
      </c>
      <c r="I45" t="str">
        <f>IF(F45="","",IFERROR(_xlfn.XLOOKUP(F45,TableLibraryBarriers[Type],TableLibraryBarriers[BarrierFamily]),""))</f>
        <v/>
      </c>
      <c r="J45" t="str">
        <f>IF(F45="","",IFERROR(_xlfn.XLOOKUP(F45,TableLibraryBarriers[Type],TableLibraryBarriers[BarrierType]),""))</f>
        <v/>
      </c>
      <c r="K45" t="str">
        <f>IF(F45="","",IFERROR(_xlfn.XLOOKUP(F45,TableLibraryBarriers[Type],TableLibraryBarriers[BlockLinear]),""))</f>
        <v/>
      </c>
      <c r="L45" t="str">
        <f>IF(F45="","",IFERROR(_xlfn.XLOOKUP(F45,TableLibraryBarriers[Type],TableLibraryBarriers[BlockPost]),""))</f>
        <v/>
      </c>
      <c r="M45" t="str">
        <f>IF(F45="","",IFERROR(_xlfn.XLOOKUP(F45,TableLibraryBarriers[Type],TableLibraryBarriers[IFCEntity]),""))</f>
        <v/>
      </c>
      <c r="N45" t="str">
        <f>IF(F45="","",IFERROR(_xlfn.XLOOKUP(F45,TableLibraryBarriers[Type],TableLibraryBarriers[Material]),""))</f>
        <v/>
      </c>
      <c r="O45" t="str">
        <f>IF(F45="","",IFERROR(_xlfn.XLOOKUP(F45,TableLibraryBarriers[Type],TableLibraryBarriers[PostSpacing]),""))</f>
        <v/>
      </c>
      <c r="P45" t="str">
        <f>IF(F45="","",IFERROR(_xlfn.XLOOKUP(F45,TableLibraryBarriers[Type],TableLibraryBarriers[ModuleLength]),""))</f>
        <v/>
      </c>
      <c r="Q45" t="str">
        <f>IF(F45="","",IFERROR(_xlfn.XLOOKUP(F45,TableLibraryBarriers[Type],TableLibraryBarriers[Height]),""))</f>
        <v/>
      </c>
      <c r="R45" t="str">
        <f>IF(F45="","",IFERROR(_xlfn.XLOOKUP(F45,TableLibraryBarriers[Type],TableLibraryBarriers[Width]),""))</f>
        <v/>
      </c>
      <c r="S45" t="str">
        <f>IF(F45="","",IFERROR(_xlfn.XLOOKUP(F45,TableLibraryBarriers[Type],TableLibraryBarriers[ContainmentLevel]),""))</f>
        <v/>
      </c>
      <c r="T45" t="str">
        <f>IF(F45="","",IFERROR(_xlfn.XLOOKUP(F45,TableLibraryBarriers[Type],TableLibraryBarriers[WorkingWidth]),""))</f>
        <v/>
      </c>
      <c r="U45" t="str">
        <f>IF(F45="","",IFERROR(_xlfn.XLOOKUP(F45,TableLibraryBarriers[Type],TableLibraryBarriers[Layer]),""))</f>
        <v/>
      </c>
      <c r="V45" t="str">
        <f>IF(F45="","",IFERROR(_xlfn.XLOOKUP(F45,TableLibraryBarriers[Type],TableLibraryBarriers[TimeUnitLength(h)]),""))</f>
        <v/>
      </c>
      <c r="W45" t="str">
        <f>IF(F45="","",IFERROR(_xlfn.XLOOKUP(F45,TableLibraryBarriers[Type],TableLibraryBarriers[CostUnitLength]),""))</f>
        <v/>
      </c>
      <c r="X45" t="str">
        <f>IF(F45="","",IFERROR(_xlfn.XLOOKUP(F45,TableLibraryBarriers[Type],TableLibraryBarriers[Notes]),""))</f>
        <v/>
      </c>
      <c r="Y45" s="19"/>
      <c r="Z45" s="19"/>
    </row>
    <row r="46" spans="1:26">
      <c r="A46" t="str">
        <f t="shared" si="0"/>
        <v/>
      </c>
      <c r="C46" s="21"/>
      <c r="D46" s="21"/>
      <c r="E46" s="19"/>
      <c r="G46" s="16" t="str">
        <f>IF(BarriersTable[[#This Row],[PKStartValue]]="","",IF(C46="","",INT(C46/1000)&amp;"+"&amp;TEXT(MOD(C46,1000),"000.00")))</f>
        <v/>
      </c>
      <c r="H46" s="16" t="str">
        <f>IF(BarriersTable[[#This Row],[PKEndValue]]="","",IF(D46="","",INT(D46/1000)&amp;"+"&amp;TEXT(MOD(D46,1000),"000.00")))</f>
        <v/>
      </c>
      <c r="I46" t="str">
        <f>IF(F46="","",IFERROR(_xlfn.XLOOKUP(F46,TableLibraryBarriers[Type],TableLibraryBarriers[BarrierFamily]),""))</f>
        <v/>
      </c>
      <c r="J46" t="str">
        <f>IF(F46="","",IFERROR(_xlfn.XLOOKUP(F46,TableLibraryBarriers[Type],TableLibraryBarriers[BarrierType]),""))</f>
        <v/>
      </c>
      <c r="K46" t="str">
        <f>IF(F46="","",IFERROR(_xlfn.XLOOKUP(F46,TableLibraryBarriers[Type],TableLibraryBarriers[BlockLinear]),""))</f>
        <v/>
      </c>
      <c r="L46" t="str">
        <f>IF(F46="","",IFERROR(_xlfn.XLOOKUP(F46,TableLibraryBarriers[Type],TableLibraryBarriers[BlockPost]),""))</f>
        <v/>
      </c>
      <c r="M46" t="str">
        <f>IF(F46="","",IFERROR(_xlfn.XLOOKUP(F46,TableLibraryBarriers[Type],TableLibraryBarriers[IFCEntity]),""))</f>
        <v/>
      </c>
      <c r="N46" t="str">
        <f>IF(F46="","",IFERROR(_xlfn.XLOOKUP(F46,TableLibraryBarriers[Type],TableLibraryBarriers[Material]),""))</f>
        <v/>
      </c>
      <c r="O46" t="str">
        <f>IF(F46="","",IFERROR(_xlfn.XLOOKUP(F46,TableLibraryBarriers[Type],TableLibraryBarriers[PostSpacing]),""))</f>
        <v/>
      </c>
      <c r="P46" t="str">
        <f>IF(F46="","",IFERROR(_xlfn.XLOOKUP(F46,TableLibraryBarriers[Type],TableLibraryBarriers[ModuleLength]),""))</f>
        <v/>
      </c>
      <c r="Q46" t="str">
        <f>IF(F46="","",IFERROR(_xlfn.XLOOKUP(F46,TableLibraryBarriers[Type],TableLibraryBarriers[Height]),""))</f>
        <v/>
      </c>
      <c r="R46" t="str">
        <f>IF(F46="","",IFERROR(_xlfn.XLOOKUP(F46,TableLibraryBarriers[Type],TableLibraryBarriers[Width]),""))</f>
        <v/>
      </c>
      <c r="S46" t="str">
        <f>IF(F46="","",IFERROR(_xlfn.XLOOKUP(F46,TableLibraryBarriers[Type],TableLibraryBarriers[ContainmentLevel]),""))</f>
        <v/>
      </c>
      <c r="T46" t="str">
        <f>IF(F46="","",IFERROR(_xlfn.XLOOKUP(F46,TableLibraryBarriers[Type],TableLibraryBarriers[WorkingWidth]),""))</f>
        <v/>
      </c>
      <c r="U46" t="str">
        <f>IF(F46="","",IFERROR(_xlfn.XLOOKUP(F46,TableLibraryBarriers[Type],TableLibraryBarriers[Layer]),""))</f>
        <v/>
      </c>
      <c r="V46" t="str">
        <f>IF(F46="","",IFERROR(_xlfn.XLOOKUP(F46,TableLibraryBarriers[Type],TableLibraryBarriers[TimeUnitLength(h)]),""))</f>
        <v/>
      </c>
      <c r="W46" t="str">
        <f>IF(F46="","",IFERROR(_xlfn.XLOOKUP(F46,TableLibraryBarriers[Type],TableLibraryBarriers[CostUnitLength]),""))</f>
        <v/>
      </c>
      <c r="X46" t="str">
        <f>IF(F46="","",IFERROR(_xlfn.XLOOKUP(F46,TableLibraryBarriers[Type],TableLibraryBarriers[Notes]),""))</f>
        <v/>
      </c>
      <c r="Y46" s="19"/>
      <c r="Z46" s="19"/>
    </row>
    <row r="47" spans="1:26">
      <c r="A47" t="str">
        <f t="shared" si="0"/>
        <v/>
      </c>
      <c r="C47" s="21"/>
      <c r="D47" s="21"/>
      <c r="E47" s="19"/>
      <c r="G47" s="16" t="str">
        <f>IF(BarriersTable[[#This Row],[PKStartValue]]="","",IF(C47="","",INT(C47/1000)&amp;"+"&amp;TEXT(MOD(C47,1000),"000.00")))</f>
        <v/>
      </c>
      <c r="H47" s="16" t="str">
        <f>IF(BarriersTable[[#This Row],[PKEndValue]]="","",IF(D47="","",INT(D47/1000)&amp;"+"&amp;TEXT(MOD(D47,1000),"000.00")))</f>
        <v/>
      </c>
      <c r="I47" t="str">
        <f>IF(F47="","",IFERROR(_xlfn.XLOOKUP(F47,TableLibraryBarriers[Type],TableLibraryBarriers[BarrierFamily]),""))</f>
        <v/>
      </c>
      <c r="J47" t="str">
        <f>IF(F47="","",IFERROR(_xlfn.XLOOKUP(F47,TableLibraryBarriers[Type],TableLibraryBarriers[BarrierType]),""))</f>
        <v/>
      </c>
      <c r="K47" t="str">
        <f>IF(F47="","",IFERROR(_xlfn.XLOOKUP(F47,TableLibraryBarriers[Type],TableLibraryBarriers[BlockLinear]),""))</f>
        <v/>
      </c>
      <c r="L47" t="str">
        <f>IF(F47="","",IFERROR(_xlfn.XLOOKUP(F47,TableLibraryBarriers[Type],TableLibraryBarriers[BlockPost]),""))</f>
        <v/>
      </c>
      <c r="M47" t="str">
        <f>IF(F47="","",IFERROR(_xlfn.XLOOKUP(F47,TableLibraryBarriers[Type],TableLibraryBarriers[IFCEntity]),""))</f>
        <v/>
      </c>
      <c r="N47" t="str">
        <f>IF(F47="","",IFERROR(_xlfn.XLOOKUP(F47,TableLibraryBarriers[Type],TableLibraryBarriers[Material]),""))</f>
        <v/>
      </c>
      <c r="O47" t="str">
        <f>IF(F47="","",IFERROR(_xlfn.XLOOKUP(F47,TableLibraryBarriers[Type],TableLibraryBarriers[PostSpacing]),""))</f>
        <v/>
      </c>
      <c r="P47" t="str">
        <f>IF(F47="","",IFERROR(_xlfn.XLOOKUP(F47,TableLibraryBarriers[Type],TableLibraryBarriers[ModuleLength]),""))</f>
        <v/>
      </c>
      <c r="Q47" t="str">
        <f>IF(F47="","",IFERROR(_xlfn.XLOOKUP(F47,TableLibraryBarriers[Type],TableLibraryBarriers[Height]),""))</f>
        <v/>
      </c>
      <c r="R47" t="str">
        <f>IF(F47="","",IFERROR(_xlfn.XLOOKUP(F47,TableLibraryBarriers[Type],TableLibraryBarriers[Width]),""))</f>
        <v/>
      </c>
      <c r="S47" t="str">
        <f>IF(F47="","",IFERROR(_xlfn.XLOOKUP(F47,TableLibraryBarriers[Type],TableLibraryBarriers[ContainmentLevel]),""))</f>
        <v/>
      </c>
      <c r="T47" t="str">
        <f>IF(F47="","",IFERROR(_xlfn.XLOOKUP(F47,TableLibraryBarriers[Type],TableLibraryBarriers[WorkingWidth]),""))</f>
        <v/>
      </c>
      <c r="U47" t="str">
        <f>IF(F47="","",IFERROR(_xlfn.XLOOKUP(F47,TableLibraryBarriers[Type],TableLibraryBarriers[Layer]),""))</f>
        <v/>
      </c>
      <c r="V47" t="str">
        <f>IF(F47="","",IFERROR(_xlfn.XLOOKUP(F47,TableLibraryBarriers[Type],TableLibraryBarriers[TimeUnitLength(h)]),""))</f>
        <v/>
      </c>
      <c r="W47" t="str">
        <f>IF(F47="","",IFERROR(_xlfn.XLOOKUP(F47,TableLibraryBarriers[Type],TableLibraryBarriers[CostUnitLength]),""))</f>
        <v/>
      </c>
      <c r="X47" t="str">
        <f>IF(F47="","",IFERROR(_xlfn.XLOOKUP(F47,TableLibraryBarriers[Type],TableLibraryBarriers[Notes]),""))</f>
        <v/>
      </c>
      <c r="Y47" s="19"/>
      <c r="Z47" s="19"/>
    </row>
    <row r="48" spans="1:26">
      <c r="A48" t="str">
        <f t="shared" si="0"/>
        <v/>
      </c>
      <c r="C48" s="21"/>
      <c r="D48" s="21"/>
      <c r="E48" s="19"/>
      <c r="G48" s="16" t="str">
        <f>IF(BarriersTable[[#This Row],[PKStartValue]]="","",IF(C48="","",INT(C48/1000)&amp;"+"&amp;TEXT(MOD(C48,1000),"000.00")))</f>
        <v/>
      </c>
      <c r="H48" s="16" t="str">
        <f>IF(BarriersTable[[#This Row],[PKEndValue]]="","",IF(D48="","",INT(D48/1000)&amp;"+"&amp;TEXT(MOD(D48,1000),"000.00")))</f>
        <v/>
      </c>
      <c r="I48" t="str">
        <f>IF(F48="","",IFERROR(_xlfn.XLOOKUP(F48,TableLibraryBarriers[Type],TableLibraryBarriers[BarrierFamily]),""))</f>
        <v/>
      </c>
      <c r="J48" t="str">
        <f>IF(F48="","",IFERROR(_xlfn.XLOOKUP(F48,TableLibraryBarriers[Type],TableLibraryBarriers[BarrierType]),""))</f>
        <v/>
      </c>
      <c r="K48" t="str">
        <f>IF(F48="","",IFERROR(_xlfn.XLOOKUP(F48,TableLibraryBarriers[Type],TableLibraryBarriers[BlockLinear]),""))</f>
        <v/>
      </c>
      <c r="L48" t="str">
        <f>IF(F48="","",IFERROR(_xlfn.XLOOKUP(F48,TableLibraryBarriers[Type],TableLibraryBarriers[BlockPost]),""))</f>
        <v/>
      </c>
      <c r="M48" t="str">
        <f>IF(F48="","",IFERROR(_xlfn.XLOOKUP(F48,TableLibraryBarriers[Type],TableLibraryBarriers[IFCEntity]),""))</f>
        <v/>
      </c>
      <c r="N48" t="str">
        <f>IF(F48="","",IFERROR(_xlfn.XLOOKUP(F48,TableLibraryBarriers[Type],TableLibraryBarriers[Material]),""))</f>
        <v/>
      </c>
      <c r="O48" t="str">
        <f>IF(F48="","",IFERROR(_xlfn.XLOOKUP(F48,TableLibraryBarriers[Type],TableLibraryBarriers[PostSpacing]),""))</f>
        <v/>
      </c>
      <c r="P48" t="str">
        <f>IF(F48="","",IFERROR(_xlfn.XLOOKUP(F48,TableLibraryBarriers[Type],TableLibraryBarriers[ModuleLength]),""))</f>
        <v/>
      </c>
      <c r="Q48" t="str">
        <f>IF(F48="","",IFERROR(_xlfn.XLOOKUP(F48,TableLibraryBarriers[Type],TableLibraryBarriers[Height]),""))</f>
        <v/>
      </c>
      <c r="R48" t="str">
        <f>IF(F48="","",IFERROR(_xlfn.XLOOKUP(F48,TableLibraryBarriers[Type],TableLibraryBarriers[Width]),""))</f>
        <v/>
      </c>
      <c r="S48" t="str">
        <f>IF(F48="","",IFERROR(_xlfn.XLOOKUP(F48,TableLibraryBarriers[Type],TableLibraryBarriers[ContainmentLevel]),""))</f>
        <v/>
      </c>
      <c r="T48" t="str">
        <f>IF(F48="","",IFERROR(_xlfn.XLOOKUP(F48,TableLibraryBarriers[Type],TableLibraryBarriers[WorkingWidth]),""))</f>
        <v/>
      </c>
      <c r="U48" t="str">
        <f>IF(F48="","",IFERROR(_xlfn.XLOOKUP(F48,TableLibraryBarriers[Type],TableLibraryBarriers[Layer]),""))</f>
        <v/>
      </c>
      <c r="V48" t="str">
        <f>IF(F48="","",IFERROR(_xlfn.XLOOKUP(F48,TableLibraryBarriers[Type],TableLibraryBarriers[TimeUnitLength(h)]),""))</f>
        <v/>
      </c>
      <c r="W48" t="str">
        <f>IF(F48="","",IFERROR(_xlfn.XLOOKUP(F48,TableLibraryBarriers[Type],TableLibraryBarriers[CostUnitLength]),""))</f>
        <v/>
      </c>
      <c r="X48" t="str">
        <f>IF(F48="","",IFERROR(_xlfn.XLOOKUP(F48,TableLibraryBarriers[Type],TableLibraryBarriers[Notes]),""))</f>
        <v/>
      </c>
      <c r="Y48" s="19"/>
      <c r="Z48" s="19"/>
    </row>
    <row r="49" spans="1:26">
      <c r="A49" t="str">
        <f t="shared" si="0"/>
        <v/>
      </c>
      <c r="C49" s="21"/>
      <c r="D49" s="21"/>
      <c r="E49" s="19"/>
      <c r="G49" s="16" t="str">
        <f>IF(BarriersTable[[#This Row],[PKStartValue]]="","",IF(C49="","",INT(C49/1000)&amp;"+"&amp;TEXT(MOD(C49,1000),"000.00")))</f>
        <v/>
      </c>
      <c r="H49" s="16" t="str">
        <f>IF(BarriersTable[[#This Row],[PKEndValue]]="","",IF(D49="","",INT(D49/1000)&amp;"+"&amp;TEXT(MOD(D49,1000),"000.00")))</f>
        <v/>
      </c>
      <c r="I49" t="str">
        <f>IF(F49="","",IFERROR(_xlfn.XLOOKUP(F49,TableLibraryBarriers[Type],TableLibraryBarriers[BarrierFamily]),""))</f>
        <v/>
      </c>
      <c r="J49" t="str">
        <f>IF(F49="","",IFERROR(_xlfn.XLOOKUP(F49,TableLibraryBarriers[Type],TableLibraryBarriers[BarrierType]),""))</f>
        <v/>
      </c>
      <c r="K49" t="str">
        <f>IF(F49="","",IFERROR(_xlfn.XLOOKUP(F49,TableLibraryBarriers[Type],TableLibraryBarriers[BlockLinear]),""))</f>
        <v/>
      </c>
      <c r="L49" t="str">
        <f>IF(F49="","",IFERROR(_xlfn.XLOOKUP(F49,TableLibraryBarriers[Type],TableLibraryBarriers[BlockPost]),""))</f>
        <v/>
      </c>
      <c r="M49" t="str">
        <f>IF(F49="","",IFERROR(_xlfn.XLOOKUP(F49,TableLibraryBarriers[Type],TableLibraryBarriers[IFCEntity]),""))</f>
        <v/>
      </c>
      <c r="N49" t="str">
        <f>IF(F49="","",IFERROR(_xlfn.XLOOKUP(F49,TableLibraryBarriers[Type],TableLibraryBarriers[Material]),""))</f>
        <v/>
      </c>
      <c r="O49" t="str">
        <f>IF(F49="","",IFERROR(_xlfn.XLOOKUP(F49,TableLibraryBarriers[Type],TableLibraryBarriers[PostSpacing]),""))</f>
        <v/>
      </c>
      <c r="P49" t="str">
        <f>IF(F49="","",IFERROR(_xlfn.XLOOKUP(F49,TableLibraryBarriers[Type],TableLibraryBarriers[ModuleLength]),""))</f>
        <v/>
      </c>
      <c r="Q49" t="str">
        <f>IF(F49="","",IFERROR(_xlfn.XLOOKUP(F49,TableLibraryBarriers[Type],TableLibraryBarriers[Height]),""))</f>
        <v/>
      </c>
      <c r="R49" t="str">
        <f>IF(F49="","",IFERROR(_xlfn.XLOOKUP(F49,TableLibraryBarriers[Type],TableLibraryBarriers[Width]),""))</f>
        <v/>
      </c>
      <c r="S49" t="str">
        <f>IF(F49="","",IFERROR(_xlfn.XLOOKUP(F49,TableLibraryBarriers[Type],TableLibraryBarriers[ContainmentLevel]),""))</f>
        <v/>
      </c>
      <c r="T49" t="str">
        <f>IF(F49="","",IFERROR(_xlfn.XLOOKUP(F49,TableLibraryBarriers[Type],TableLibraryBarriers[WorkingWidth]),""))</f>
        <v/>
      </c>
      <c r="U49" t="str">
        <f>IF(F49="","",IFERROR(_xlfn.XLOOKUP(F49,TableLibraryBarriers[Type],TableLibraryBarriers[Layer]),""))</f>
        <v/>
      </c>
      <c r="V49" t="str">
        <f>IF(F49="","",IFERROR(_xlfn.XLOOKUP(F49,TableLibraryBarriers[Type],TableLibraryBarriers[TimeUnitLength(h)]),""))</f>
        <v/>
      </c>
      <c r="W49" t="str">
        <f>IF(F49="","",IFERROR(_xlfn.XLOOKUP(F49,TableLibraryBarriers[Type],TableLibraryBarriers[CostUnitLength]),""))</f>
        <v/>
      </c>
      <c r="X49" t="str">
        <f>IF(F49="","",IFERROR(_xlfn.XLOOKUP(F49,TableLibraryBarriers[Type],TableLibraryBarriers[Notes]),""))</f>
        <v/>
      </c>
      <c r="Y49" s="19"/>
      <c r="Z49" s="19"/>
    </row>
    <row r="50" spans="1:26">
      <c r="A50" t="str">
        <f t="shared" si="0"/>
        <v/>
      </c>
      <c r="C50" s="21"/>
      <c r="D50" s="21"/>
      <c r="E50" s="19"/>
      <c r="G50" s="16" t="str">
        <f>IF(BarriersTable[[#This Row],[PKStartValue]]="","",IF(C50="","",INT(C50/1000)&amp;"+"&amp;TEXT(MOD(C50,1000),"000.00")))</f>
        <v/>
      </c>
      <c r="H50" s="16" t="str">
        <f>IF(BarriersTable[[#This Row],[PKEndValue]]="","",IF(D50="","",INT(D50/1000)&amp;"+"&amp;TEXT(MOD(D50,1000),"000.00")))</f>
        <v/>
      </c>
      <c r="I50" t="str">
        <f>IF(F50="","",IFERROR(_xlfn.XLOOKUP(F50,TableLibraryBarriers[Type],TableLibraryBarriers[BarrierFamily]),""))</f>
        <v/>
      </c>
      <c r="J50" t="str">
        <f>IF(F50="","",IFERROR(_xlfn.XLOOKUP(F50,TableLibraryBarriers[Type],TableLibraryBarriers[BarrierType]),""))</f>
        <v/>
      </c>
      <c r="K50" t="str">
        <f>IF(F50="","",IFERROR(_xlfn.XLOOKUP(F50,TableLibraryBarriers[Type],TableLibraryBarriers[BlockLinear]),""))</f>
        <v/>
      </c>
      <c r="L50" t="str">
        <f>IF(F50="","",IFERROR(_xlfn.XLOOKUP(F50,TableLibraryBarriers[Type],TableLibraryBarriers[BlockPost]),""))</f>
        <v/>
      </c>
      <c r="M50" t="str">
        <f>IF(F50="","",IFERROR(_xlfn.XLOOKUP(F50,TableLibraryBarriers[Type],TableLibraryBarriers[IFCEntity]),""))</f>
        <v/>
      </c>
      <c r="N50" t="str">
        <f>IF(F50="","",IFERROR(_xlfn.XLOOKUP(F50,TableLibraryBarriers[Type],TableLibraryBarriers[Material]),""))</f>
        <v/>
      </c>
      <c r="O50" t="str">
        <f>IF(F50="","",IFERROR(_xlfn.XLOOKUP(F50,TableLibraryBarriers[Type],TableLibraryBarriers[PostSpacing]),""))</f>
        <v/>
      </c>
      <c r="P50" t="str">
        <f>IF(F50="","",IFERROR(_xlfn.XLOOKUP(F50,TableLibraryBarriers[Type],TableLibraryBarriers[ModuleLength]),""))</f>
        <v/>
      </c>
      <c r="Q50" t="str">
        <f>IF(F50="","",IFERROR(_xlfn.XLOOKUP(F50,TableLibraryBarriers[Type],TableLibraryBarriers[Height]),""))</f>
        <v/>
      </c>
      <c r="R50" t="str">
        <f>IF(F50="","",IFERROR(_xlfn.XLOOKUP(F50,TableLibraryBarriers[Type],TableLibraryBarriers[Width]),""))</f>
        <v/>
      </c>
      <c r="S50" t="str">
        <f>IF(F50="","",IFERROR(_xlfn.XLOOKUP(F50,TableLibraryBarriers[Type],TableLibraryBarriers[ContainmentLevel]),""))</f>
        <v/>
      </c>
      <c r="T50" t="str">
        <f>IF(F50="","",IFERROR(_xlfn.XLOOKUP(F50,TableLibraryBarriers[Type],TableLibraryBarriers[WorkingWidth]),""))</f>
        <v/>
      </c>
      <c r="U50" t="str">
        <f>IF(F50="","",IFERROR(_xlfn.XLOOKUP(F50,TableLibraryBarriers[Type],TableLibraryBarriers[Layer]),""))</f>
        <v/>
      </c>
      <c r="V50" t="str">
        <f>IF(F50="","",IFERROR(_xlfn.XLOOKUP(F50,TableLibraryBarriers[Type],TableLibraryBarriers[TimeUnitLength(h)]),""))</f>
        <v/>
      </c>
      <c r="W50" t="str">
        <f>IF(F50="","",IFERROR(_xlfn.XLOOKUP(F50,TableLibraryBarriers[Type],TableLibraryBarriers[CostUnitLength]),""))</f>
        <v/>
      </c>
      <c r="X50" t="str">
        <f>IF(F50="","",IFERROR(_xlfn.XLOOKUP(F50,TableLibraryBarriers[Type],TableLibraryBarriers[Notes]),""))</f>
        <v/>
      </c>
      <c r="Y50" s="19"/>
      <c r="Z50" s="19"/>
    </row>
    <row r="51" spans="1:26">
      <c r="A51" t="str">
        <f t="shared" si="0"/>
        <v/>
      </c>
      <c r="C51" s="21"/>
      <c r="D51" s="21"/>
      <c r="E51" s="19"/>
      <c r="G51" s="16" t="str">
        <f>IF(BarriersTable[[#This Row],[PKStartValue]]="","",IF(C51="","",INT(C51/1000)&amp;"+"&amp;TEXT(MOD(C51,1000),"000.00")))</f>
        <v/>
      </c>
      <c r="H51" s="16" t="str">
        <f>IF(BarriersTable[[#This Row],[PKEndValue]]="","",IF(D51="","",INT(D51/1000)&amp;"+"&amp;TEXT(MOD(D51,1000),"000.00")))</f>
        <v/>
      </c>
      <c r="I51" t="str">
        <f>IF(F51="","",IFERROR(_xlfn.XLOOKUP(F51,TableLibraryBarriers[Type],TableLibraryBarriers[BarrierFamily]),""))</f>
        <v/>
      </c>
      <c r="J51" t="str">
        <f>IF(F51="","",IFERROR(_xlfn.XLOOKUP(F51,TableLibraryBarriers[Type],TableLibraryBarriers[BarrierType]),""))</f>
        <v/>
      </c>
      <c r="K51" t="str">
        <f>IF(F51="","",IFERROR(_xlfn.XLOOKUP(F51,TableLibraryBarriers[Type],TableLibraryBarriers[BlockLinear]),""))</f>
        <v/>
      </c>
      <c r="L51" t="str">
        <f>IF(F51="","",IFERROR(_xlfn.XLOOKUP(F51,TableLibraryBarriers[Type],TableLibraryBarriers[BlockPost]),""))</f>
        <v/>
      </c>
      <c r="M51" t="str">
        <f>IF(F51="","",IFERROR(_xlfn.XLOOKUP(F51,TableLibraryBarriers[Type],TableLibraryBarriers[IFCEntity]),""))</f>
        <v/>
      </c>
      <c r="N51" t="str">
        <f>IF(F51="","",IFERROR(_xlfn.XLOOKUP(F51,TableLibraryBarriers[Type],TableLibraryBarriers[Material]),""))</f>
        <v/>
      </c>
      <c r="O51" t="str">
        <f>IF(F51="","",IFERROR(_xlfn.XLOOKUP(F51,TableLibraryBarriers[Type],TableLibraryBarriers[PostSpacing]),""))</f>
        <v/>
      </c>
      <c r="P51" t="str">
        <f>IF(F51="","",IFERROR(_xlfn.XLOOKUP(F51,TableLibraryBarriers[Type],TableLibraryBarriers[ModuleLength]),""))</f>
        <v/>
      </c>
      <c r="Q51" t="str">
        <f>IF(F51="","",IFERROR(_xlfn.XLOOKUP(F51,TableLibraryBarriers[Type],TableLibraryBarriers[Height]),""))</f>
        <v/>
      </c>
      <c r="R51" t="str">
        <f>IF(F51="","",IFERROR(_xlfn.XLOOKUP(F51,TableLibraryBarriers[Type],TableLibraryBarriers[Width]),""))</f>
        <v/>
      </c>
      <c r="S51" t="str">
        <f>IF(F51="","",IFERROR(_xlfn.XLOOKUP(F51,TableLibraryBarriers[Type],TableLibraryBarriers[ContainmentLevel]),""))</f>
        <v/>
      </c>
      <c r="T51" t="str">
        <f>IF(F51="","",IFERROR(_xlfn.XLOOKUP(F51,TableLibraryBarriers[Type],TableLibraryBarriers[WorkingWidth]),""))</f>
        <v/>
      </c>
      <c r="U51" t="str">
        <f>IF(F51="","",IFERROR(_xlfn.XLOOKUP(F51,TableLibraryBarriers[Type],TableLibraryBarriers[Layer]),""))</f>
        <v/>
      </c>
      <c r="V51" t="str">
        <f>IF(F51="","",IFERROR(_xlfn.XLOOKUP(F51,TableLibraryBarriers[Type],TableLibraryBarriers[TimeUnitLength(h)]),""))</f>
        <v/>
      </c>
      <c r="W51" t="str">
        <f>IF(F51="","",IFERROR(_xlfn.XLOOKUP(F51,TableLibraryBarriers[Type],TableLibraryBarriers[CostUnitLength]),""))</f>
        <v/>
      </c>
      <c r="X51" t="str">
        <f>IF(F51="","",IFERROR(_xlfn.XLOOKUP(F51,TableLibraryBarriers[Type],TableLibraryBarriers[Notes]),""))</f>
        <v/>
      </c>
      <c r="Y51" s="19"/>
      <c r="Z51" s="19"/>
    </row>
    <row r="52" spans="1:26">
      <c r="A52" t="str">
        <f t="shared" si="0"/>
        <v/>
      </c>
      <c r="C52" s="21"/>
      <c r="D52" s="21"/>
      <c r="E52" s="19"/>
      <c r="G52" s="16" t="str">
        <f>IF(BarriersTable[[#This Row],[PKStartValue]]="","",IF(C52="","",INT(C52/1000)&amp;"+"&amp;TEXT(MOD(C52,1000),"000.00")))</f>
        <v/>
      </c>
      <c r="H52" s="16" t="str">
        <f>IF(BarriersTable[[#This Row],[PKEndValue]]="","",IF(D52="","",INT(D52/1000)&amp;"+"&amp;TEXT(MOD(D52,1000),"000.00")))</f>
        <v/>
      </c>
      <c r="I52" t="str">
        <f>IF(F52="","",IFERROR(_xlfn.XLOOKUP(F52,TableLibraryBarriers[Type],TableLibraryBarriers[BarrierFamily]),""))</f>
        <v/>
      </c>
      <c r="J52" t="str">
        <f>IF(F52="","",IFERROR(_xlfn.XLOOKUP(F52,TableLibraryBarriers[Type],TableLibraryBarriers[BarrierType]),""))</f>
        <v/>
      </c>
      <c r="K52" t="str">
        <f>IF(F52="","",IFERROR(_xlfn.XLOOKUP(F52,TableLibraryBarriers[Type],TableLibraryBarriers[BlockLinear]),""))</f>
        <v/>
      </c>
      <c r="L52" t="str">
        <f>IF(F52="","",IFERROR(_xlfn.XLOOKUP(F52,TableLibraryBarriers[Type],TableLibraryBarriers[BlockPost]),""))</f>
        <v/>
      </c>
      <c r="M52" t="str">
        <f>IF(F52="","",IFERROR(_xlfn.XLOOKUP(F52,TableLibraryBarriers[Type],TableLibraryBarriers[IFCEntity]),""))</f>
        <v/>
      </c>
      <c r="N52" t="str">
        <f>IF(F52="","",IFERROR(_xlfn.XLOOKUP(F52,TableLibraryBarriers[Type],TableLibraryBarriers[Material]),""))</f>
        <v/>
      </c>
      <c r="O52" t="str">
        <f>IF(F52="","",IFERROR(_xlfn.XLOOKUP(F52,TableLibraryBarriers[Type],TableLibraryBarriers[PostSpacing]),""))</f>
        <v/>
      </c>
      <c r="P52" t="str">
        <f>IF(F52="","",IFERROR(_xlfn.XLOOKUP(F52,TableLibraryBarriers[Type],TableLibraryBarriers[ModuleLength]),""))</f>
        <v/>
      </c>
      <c r="Q52" t="str">
        <f>IF(F52="","",IFERROR(_xlfn.XLOOKUP(F52,TableLibraryBarriers[Type],TableLibraryBarriers[Height]),""))</f>
        <v/>
      </c>
      <c r="R52" t="str">
        <f>IF(F52="","",IFERROR(_xlfn.XLOOKUP(F52,TableLibraryBarriers[Type],TableLibraryBarriers[Width]),""))</f>
        <v/>
      </c>
      <c r="S52" t="str">
        <f>IF(F52="","",IFERROR(_xlfn.XLOOKUP(F52,TableLibraryBarriers[Type],TableLibraryBarriers[ContainmentLevel]),""))</f>
        <v/>
      </c>
      <c r="T52" t="str">
        <f>IF(F52="","",IFERROR(_xlfn.XLOOKUP(F52,TableLibraryBarriers[Type],TableLibraryBarriers[WorkingWidth]),""))</f>
        <v/>
      </c>
      <c r="U52" t="str">
        <f>IF(F52="","",IFERROR(_xlfn.XLOOKUP(F52,TableLibraryBarriers[Type],TableLibraryBarriers[Layer]),""))</f>
        <v/>
      </c>
      <c r="V52" t="str">
        <f>IF(F52="","",IFERROR(_xlfn.XLOOKUP(F52,TableLibraryBarriers[Type],TableLibraryBarriers[TimeUnitLength(h)]),""))</f>
        <v/>
      </c>
      <c r="W52" t="str">
        <f>IF(F52="","",IFERROR(_xlfn.XLOOKUP(F52,TableLibraryBarriers[Type],TableLibraryBarriers[CostUnitLength]),""))</f>
        <v/>
      </c>
      <c r="X52" t="str">
        <f>IF(F52="","",IFERROR(_xlfn.XLOOKUP(F52,TableLibraryBarriers[Type],TableLibraryBarriers[Notes]),""))</f>
        <v/>
      </c>
      <c r="Y52" s="19"/>
      <c r="Z52" s="19"/>
    </row>
    <row r="53" spans="1:26">
      <c r="A53" t="str">
        <f t="shared" si="0"/>
        <v/>
      </c>
      <c r="C53" s="21"/>
      <c r="D53" s="21"/>
      <c r="E53" s="19"/>
      <c r="G53" s="16" t="str">
        <f>IF(BarriersTable[[#This Row],[PKStartValue]]="","",IF(C53="","",INT(C53/1000)&amp;"+"&amp;TEXT(MOD(C53,1000),"000.00")))</f>
        <v/>
      </c>
      <c r="H53" s="16" t="str">
        <f>IF(BarriersTable[[#This Row],[PKEndValue]]="","",IF(D53="","",INT(D53/1000)&amp;"+"&amp;TEXT(MOD(D53,1000),"000.00")))</f>
        <v/>
      </c>
      <c r="I53" t="str">
        <f>IF(F53="","",IFERROR(_xlfn.XLOOKUP(F53,TableLibraryBarriers[Type],TableLibraryBarriers[BarrierFamily]),""))</f>
        <v/>
      </c>
      <c r="J53" t="str">
        <f>IF(F53="","",IFERROR(_xlfn.XLOOKUP(F53,TableLibraryBarriers[Type],TableLibraryBarriers[BarrierType]),""))</f>
        <v/>
      </c>
      <c r="K53" t="str">
        <f>IF(F53="","",IFERROR(_xlfn.XLOOKUP(F53,TableLibraryBarriers[Type],TableLibraryBarriers[BlockLinear]),""))</f>
        <v/>
      </c>
      <c r="L53" t="str">
        <f>IF(F53="","",IFERROR(_xlfn.XLOOKUP(F53,TableLibraryBarriers[Type],TableLibraryBarriers[BlockPost]),""))</f>
        <v/>
      </c>
      <c r="M53" t="str">
        <f>IF(F53="","",IFERROR(_xlfn.XLOOKUP(F53,TableLibraryBarriers[Type],TableLibraryBarriers[IFCEntity]),""))</f>
        <v/>
      </c>
      <c r="N53" t="str">
        <f>IF(F53="","",IFERROR(_xlfn.XLOOKUP(F53,TableLibraryBarriers[Type],TableLibraryBarriers[Material]),""))</f>
        <v/>
      </c>
      <c r="O53" t="str">
        <f>IF(F53="","",IFERROR(_xlfn.XLOOKUP(F53,TableLibraryBarriers[Type],TableLibraryBarriers[PostSpacing]),""))</f>
        <v/>
      </c>
      <c r="P53" t="str">
        <f>IF(F53="","",IFERROR(_xlfn.XLOOKUP(F53,TableLibraryBarriers[Type],TableLibraryBarriers[ModuleLength]),""))</f>
        <v/>
      </c>
      <c r="Q53" t="str">
        <f>IF(F53="","",IFERROR(_xlfn.XLOOKUP(F53,TableLibraryBarriers[Type],TableLibraryBarriers[Height]),""))</f>
        <v/>
      </c>
      <c r="R53" t="str">
        <f>IF(F53="","",IFERROR(_xlfn.XLOOKUP(F53,TableLibraryBarriers[Type],TableLibraryBarriers[Width]),""))</f>
        <v/>
      </c>
      <c r="S53" t="str">
        <f>IF(F53="","",IFERROR(_xlfn.XLOOKUP(F53,TableLibraryBarriers[Type],TableLibraryBarriers[ContainmentLevel]),""))</f>
        <v/>
      </c>
      <c r="T53" t="str">
        <f>IF(F53="","",IFERROR(_xlfn.XLOOKUP(F53,TableLibraryBarriers[Type],TableLibraryBarriers[WorkingWidth]),""))</f>
        <v/>
      </c>
      <c r="U53" t="str">
        <f>IF(F53="","",IFERROR(_xlfn.XLOOKUP(F53,TableLibraryBarriers[Type],TableLibraryBarriers[Layer]),""))</f>
        <v/>
      </c>
      <c r="V53" t="str">
        <f>IF(F53="","",IFERROR(_xlfn.XLOOKUP(F53,TableLibraryBarriers[Type],TableLibraryBarriers[TimeUnitLength(h)]),""))</f>
        <v/>
      </c>
      <c r="W53" t="str">
        <f>IF(F53="","",IFERROR(_xlfn.XLOOKUP(F53,TableLibraryBarriers[Type],TableLibraryBarriers[CostUnitLength]),""))</f>
        <v/>
      </c>
      <c r="X53" t="str">
        <f>IF(F53="","",IFERROR(_xlfn.XLOOKUP(F53,TableLibraryBarriers[Type],TableLibraryBarriers[Notes]),""))</f>
        <v/>
      </c>
      <c r="Y53" s="19"/>
      <c r="Z53" s="19"/>
    </row>
    <row r="54" spans="1:26">
      <c r="A54" t="str">
        <f t="shared" si="0"/>
        <v/>
      </c>
      <c r="C54" s="21"/>
      <c r="D54" s="21"/>
      <c r="E54" s="19"/>
      <c r="G54" s="16" t="str">
        <f>IF(BarriersTable[[#This Row],[PKStartValue]]="","",IF(C54="","",INT(C54/1000)&amp;"+"&amp;TEXT(MOD(C54,1000),"000.00")))</f>
        <v/>
      </c>
      <c r="H54" s="16" t="str">
        <f>IF(BarriersTable[[#This Row],[PKEndValue]]="","",IF(D54="","",INT(D54/1000)&amp;"+"&amp;TEXT(MOD(D54,1000),"000.00")))</f>
        <v/>
      </c>
      <c r="I54" t="str">
        <f>IF(F54="","",IFERROR(_xlfn.XLOOKUP(F54,TableLibraryBarriers[Type],TableLibraryBarriers[BarrierFamily]),""))</f>
        <v/>
      </c>
      <c r="J54" t="str">
        <f>IF(F54="","",IFERROR(_xlfn.XLOOKUP(F54,TableLibraryBarriers[Type],TableLibraryBarriers[BarrierType]),""))</f>
        <v/>
      </c>
      <c r="K54" t="str">
        <f>IF(F54="","",IFERROR(_xlfn.XLOOKUP(F54,TableLibraryBarriers[Type],TableLibraryBarriers[BlockLinear]),""))</f>
        <v/>
      </c>
      <c r="L54" t="str">
        <f>IF(F54="","",IFERROR(_xlfn.XLOOKUP(F54,TableLibraryBarriers[Type],TableLibraryBarriers[BlockPost]),""))</f>
        <v/>
      </c>
      <c r="M54" t="str">
        <f>IF(F54="","",IFERROR(_xlfn.XLOOKUP(F54,TableLibraryBarriers[Type],TableLibraryBarriers[IFCEntity]),""))</f>
        <v/>
      </c>
      <c r="N54" t="str">
        <f>IF(F54="","",IFERROR(_xlfn.XLOOKUP(F54,TableLibraryBarriers[Type],TableLibraryBarriers[Material]),""))</f>
        <v/>
      </c>
      <c r="O54" t="str">
        <f>IF(F54="","",IFERROR(_xlfn.XLOOKUP(F54,TableLibraryBarriers[Type],TableLibraryBarriers[PostSpacing]),""))</f>
        <v/>
      </c>
      <c r="P54" t="str">
        <f>IF(F54="","",IFERROR(_xlfn.XLOOKUP(F54,TableLibraryBarriers[Type],TableLibraryBarriers[ModuleLength]),""))</f>
        <v/>
      </c>
      <c r="Q54" t="str">
        <f>IF(F54="","",IFERROR(_xlfn.XLOOKUP(F54,TableLibraryBarriers[Type],TableLibraryBarriers[Height]),""))</f>
        <v/>
      </c>
      <c r="R54" t="str">
        <f>IF(F54="","",IFERROR(_xlfn.XLOOKUP(F54,TableLibraryBarriers[Type],TableLibraryBarriers[Width]),""))</f>
        <v/>
      </c>
      <c r="S54" t="str">
        <f>IF(F54="","",IFERROR(_xlfn.XLOOKUP(F54,TableLibraryBarriers[Type],TableLibraryBarriers[ContainmentLevel]),""))</f>
        <v/>
      </c>
      <c r="T54" t="str">
        <f>IF(F54="","",IFERROR(_xlfn.XLOOKUP(F54,TableLibraryBarriers[Type],TableLibraryBarriers[WorkingWidth]),""))</f>
        <v/>
      </c>
      <c r="U54" t="str">
        <f>IF(F54="","",IFERROR(_xlfn.XLOOKUP(F54,TableLibraryBarriers[Type],TableLibraryBarriers[Layer]),""))</f>
        <v/>
      </c>
      <c r="V54" t="str">
        <f>IF(F54="","",IFERROR(_xlfn.XLOOKUP(F54,TableLibraryBarriers[Type],TableLibraryBarriers[TimeUnitLength(h)]),""))</f>
        <v/>
      </c>
      <c r="W54" t="str">
        <f>IF(F54="","",IFERROR(_xlfn.XLOOKUP(F54,TableLibraryBarriers[Type],TableLibraryBarriers[CostUnitLength]),""))</f>
        <v/>
      </c>
      <c r="X54" t="str">
        <f>IF(F54="","",IFERROR(_xlfn.XLOOKUP(F54,TableLibraryBarriers[Type],TableLibraryBarriers[Notes]),""))</f>
        <v/>
      </c>
      <c r="Y54" s="19"/>
      <c r="Z54" s="19"/>
    </row>
    <row r="55" spans="1:26">
      <c r="A55" t="str">
        <f t="shared" si="0"/>
        <v/>
      </c>
      <c r="C55" s="21"/>
      <c r="D55" s="21"/>
      <c r="E55" s="19"/>
      <c r="G55" s="16" t="str">
        <f>IF(BarriersTable[[#This Row],[PKStartValue]]="","",IF(C55="","",INT(C55/1000)&amp;"+"&amp;TEXT(MOD(C55,1000),"000.00")))</f>
        <v/>
      </c>
      <c r="H55" s="16" t="str">
        <f>IF(BarriersTable[[#This Row],[PKEndValue]]="","",IF(D55="","",INT(D55/1000)&amp;"+"&amp;TEXT(MOD(D55,1000),"000.00")))</f>
        <v/>
      </c>
      <c r="I55" t="str">
        <f>IF(F55="","",IFERROR(_xlfn.XLOOKUP(F55,TableLibraryBarriers[Type],TableLibraryBarriers[BarrierFamily]),""))</f>
        <v/>
      </c>
      <c r="J55" t="str">
        <f>IF(F55="","",IFERROR(_xlfn.XLOOKUP(F55,TableLibraryBarriers[Type],TableLibraryBarriers[BarrierType]),""))</f>
        <v/>
      </c>
      <c r="K55" t="str">
        <f>IF(F55="","",IFERROR(_xlfn.XLOOKUP(F55,TableLibraryBarriers[Type],TableLibraryBarriers[BlockLinear]),""))</f>
        <v/>
      </c>
      <c r="L55" t="str">
        <f>IF(F55="","",IFERROR(_xlfn.XLOOKUP(F55,TableLibraryBarriers[Type],TableLibraryBarriers[BlockPost]),""))</f>
        <v/>
      </c>
      <c r="M55" t="str">
        <f>IF(F55="","",IFERROR(_xlfn.XLOOKUP(F55,TableLibraryBarriers[Type],TableLibraryBarriers[IFCEntity]),""))</f>
        <v/>
      </c>
      <c r="N55" t="str">
        <f>IF(F55="","",IFERROR(_xlfn.XLOOKUP(F55,TableLibraryBarriers[Type],TableLibraryBarriers[Material]),""))</f>
        <v/>
      </c>
      <c r="O55" t="str">
        <f>IF(F55="","",IFERROR(_xlfn.XLOOKUP(F55,TableLibraryBarriers[Type],TableLibraryBarriers[PostSpacing]),""))</f>
        <v/>
      </c>
      <c r="P55" t="str">
        <f>IF(F55="","",IFERROR(_xlfn.XLOOKUP(F55,TableLibraryBarriers[Type],TableLibraryBarriers[ModuleLength]),""))</f>
        <v/>
      </c>
      <c r="Q55" t="str">
        <f>IF(F55="","",IFERROR(_xlfn.XLOOKUP(F55,TableLibraryBarriers[Type],TableLibraryBarriers[Height]),""))</f>
        <v/>
      </c>
      <c r="R55" t="str">
        <f>IF(F55="","",IFERROR(_xlfn.XLOOKUP(F55,TableLibraryBarriers[Type],TableLibraryBarriers[Width]),""))</f>
        <v/>
      </c>
      <c r="S55" t="str">
        <f>IF(F55="","",IFERROR(_xlfn.XLOOKUP(F55,TableLibraryBarriers[Type],TableLibraryBarriers[ContainmentLevel]),""))</f>
        <v/>
      </c>
      <c r="T55" t="str">
        <f>IF(F55="","",IFERROR(_xlfn.XLOOKUP(F55,TableLibraryBarriers[Type],TableLibraryBarriers[WorkingWidth]),""))</f>
        <v/>
      </c>
      <c r="U55" t="str">
        <f>IF(F55="","",IFERROR(_xlfn.XLOOKUP(F55,TableLibraryBarriers[Type],TableLibraryBarriers[Layer]),""))</f>
        <v/>
      </c>
      <c r="V55" t="str">
        <f>IF(F55="","",IFERROR(_xlfn.XLOOKUP(F55,TableLibraryBarriers[Type],TableLibraryBarriers[TimeUnitLength(h)]),""))</f>
        <v/>
      </c>
      <c r="W55" t="str">
        <f>IF(F55="","",IFERROR(_xlfn.XLOOKUP(F55,TableLibraryBarriers[Type],TableLibraryBarriers[CostUnitLength]),""))</f>
        <v/>
      </c>
      <c r="X55" t="str">
        <f>IF(F55="","",IFERROR(_xlfn.XLOOKUP(F55,TableLibraryBarriers[Type],TableLibraryBarriers[Notes]),""))</f>
        <v/>
      </c>
      <c r="Y55" s="19"/>
      <c r="Z55" s="19"/>
    </row>
    <row r="56" spans="1:26">
      <c r="A56" t="str">
        <f t="shared" si="0"/>
        <v/>
      </c>
      <c r="C56" s="21"/>
      <c r="D56" s="21"/>
      <c r="E56" s="19"/>
      <c r="G56" s="16" t="str">
        <f>IF(BarriersTable[[#This Row],[PKStartValue]]="","",IF(C56="","",INT(C56/1000)&amp;"+"&amp;TEXT(MOD(C56,1000),"000.00")))</f>
        <v/>
      </c>
      <c r="H56" s="16" t="str">
        <f>IF(BarriersTable[[#This Row],[PKEndValue]]="","",IF(D56="","",INT(D56/1000)&amp;"+"&amp;TEXT(MOD(D56,1000),"000.00")))</f>
        <v/>
      </c>
      <c r="I56" t="str">
        <f>IF(F56="","",IFERROR(_xlfn.XLOOKUP(F56,TableLibraryBarriers[Type],TableLibraryBarriers[BarrierFamily]),""))</f>
        <v/>
      </c>
      <c r="J56" t="str">
        <f>IF(F56="","",IFERROR(_xlfn.XLOOKUP(F56,TableLibraryBarriers[Type],TableLibraryBarriers[BarrierType]),""))</f>
        <v/>
      </c>
      <c r="K56" t="str">
        <f>IF(F56="","",IFERROR(_xlfn.XLOOKUP(F56,TableLibraryBarriers[Type],TableLibraryBarriers[BlockLinear]),""))</f>
        <v/>
      </c>
      <c r="L56" t="str">
        <f>IF(F56="","",IFERROR(_xlfn.XLOOKUP(F56,TableLibraryBarriers[Type],TableLibraryBarriers[BlockPost]),""))</f>
        <v/>
      </c>
      <c r="M56" t="str">
        <f>IF(F56="","",IFERROR(_xlfn.XLOOKUP(F56,TableLibraryBarriers[Type],TableLibraryBarriers[IFCEntity]),""))</f>
        <v/>
      </c>
      <c r="N56" t="str">
        <f>IF(F56="","",IFERROR(_xlfn.XLOOKUP(F56,TableLibraryBarriers[Type],TableLibraryBarriers[Material]),""))</f>
        <v/>
      </c>
      <c r="O56" t="str">
        <f>IF(F56="","",IFERROR(_xlfn.XLOOKUP(F56,TableLibraryBarriers[Type],TableLibraryBarriers[PostSpacing]),""))</f>
        <v/>
      </c>
      <c r="P56" t="str">
        <f>IF(F56="","",IFERROR(_xlfn.XLOOKUP(F56,TableLibraryBarriers[Type],TableLibraryBarriers[ModuleLength]),""))</f>
        <v/>
      </c>
      <c r="Q56" t="str">
        <f>IF(F56="","",IFERROR(_xlfn.XLOOKUP(F56,TableLibraryBarriers[Type],TableLibraryBarriers[Height]),""))</f>
        <v/>
      </c>
      <c r="R56" t="str">
        <f>IF(F56="","",IFERROR(_xlfn.XLOOKUP(F56,TableLibraryBarriers[Type],TableLibraryBarriers[Width]),""))</f>
        <v/>
      </c>
      <c r="S56" t="str">
        <f>IF(F56="","",IFERROR(_xlfn.XLOOKUP(F56,TableLibraryBarriers[Type],TableLibraryBarriers[ContainmentLevel]),""))</f>
        <v/>
      </c>
      <c r="T56" t="str">
        <f>IF(F56="","",IFERROR(_xlfn.XLOOKUP(F56,TableLibraryBarriers[Type],TableLibraryBarriers[WorkingWidth]),""))</f>
        <v/>
      </c>
      <c r="U56" t="str">
        <f>IF(F56="","",IFERROR(_xlfn.XLOOKUP(F56,TableLibraryBarriers[Type],TableLibraryBarriers[Layer]),""))</f>
        <v/>
      </c>
      <c r="V56" t="str">
        <f>IF(F56="","",IFERROR(_xlfn.XLOOKUP(F56,TableLibraryBarriers[Type],TableLibraryBarriers[TimeUnitLength(h)]),""))</f>
        <v/>
      </c>
      <c r="W56" t="str">
        <f>IF(F56="","",IFERROR(_xlfn.XLOOKUP(F56,TableLibraryBarriers[Type],TableLibraryBarriers[CostUnitLength]),""))</f>
        <v/>
      </c>
      <c r="X56" t="str">
        <f>IF(F56="","",IFERROR(_xlfn.XLOOKUP(F56,TableLibraryBarriers[Type],TableLibraryBarriers[Notes]),""))</f>
        <v/>
      </c>
      <c r="Y56" s="19"/>
      <c r="Z56" s="19"/>
    </row>
    <row r="57" spans="1:26">
      <c r="A57" t="str">
        <f t="shared" si="0"/>
        <v/>
      </c>
      <c r="C57" s="21"/>
      <c r="D57" s="21"/>
      <c r="E57" s="19"/>
      <c r="G57" s="16" t="str">
        <f>IF(BarriersTable[[#This Row],[PKStartValue]]="","",IF(C57="","",INT(C57/1000)&amp;"+"&amp;TEXT(MOD(C57,1000),"000.00")))</f>
        <v/>
      </c>
      <c r="H57" s="16" t="str">
        <f>IF(BarriersTable[[#This Row],[PKEndValue]]="","",IF(D57="","",INT(D57/1000)&amp;"+"&amp;TEXT(MOD(D57,1000),"000.00")))</f>
        <v/>
      </c>
      <c r="I57" t="str">
        <f>IF(F57="","",IFERROR(_xlfn.XLOOKUP(F57,TableLibraryBarriers[Type],TableLibraryBarriers[BarrierFamily]),""))</f>
        <v/>
      </c>
      <c r="J57" t="str">
        <f>IF(F57="","",IFERROR(_xlfn.XLOOKUP(F57,TableLibraryBarriers[Type],TableLibraryBarriers[BarrierType]),""))</f>
        <v/>
      </c>
      <c r="K57" t="str">
        <f>IF(F57="","",IFERROR(_xlfn.XLOOKUP(F57,TableLibraryBarriers[Type],TableLibraryBarriers[BlockLinear]),""))</f>
        <v/>
      </c>
      <c r="L57" t="str">
        <f>IF(F57="","",IFERROR(_xlfn.XLOOKUP(F57,TableLibraryBarriers[Type],TableLibraryBarriers[BlockPost]),""))</f>
        <v/>
      </c>
      <c r="M57" t="str">
        <f>IF(F57="","",IFERROR(_xlfn.XLOOKUP(F57,TableLibraryBarriers[Type],TableLibraryBarriers[IFCEntity]),""))</f>
        <v/>
      </c>
      <c r="N57" t="str">
        <f>IF(F57="","",IFERROR(_xlfn.XLOOKUP(F57,TableLibraryBarriers[Type],TableLibraryBarriers[Material]),""))</f>
        <v/>
      </c>
      <c r="O57" t="str">
        <f>IF(F57="","",IFERROR(_xlfn.XLOOKUP(F57,TableLibraryBarriers[Type],TableLibraryBarriers[PostSpacing]),""))</f>
        <v/>
      </c>
      <c r="P57" t="str">
        <f>IF(F57="","",IFERROR(_xlfn.XLOOKUP(F57,TableLibraryBarriers[Type],TableLibraryBarriers[ModuleLength]),""))</f>
        <v/>
      </c>
      <c r="Q57" t="str">
        <f>IF(F57="","",IFERROR(_xlfn.XLOOKUP(F57,TableLibraryBarriers[Type],TableLibraryBarriers[Height]),""))</f>
        <v/>
      </c>
      <c r="R57" t="str">
        <f>IF(F57="","",IFERROR(_xlfn.XLOOKUP(F57,TableLibraryBarriers[Type],TableLibraryBarriers[Width]),""))</f>
        <v/>
      </c>
      <c r="S57" t="str">
        <f>IF(F57="","",IFERROR(_xlfn.XLOOKUP(F57,TableLibraryBarriers[Type],TableLibraryBarriers[ContainmentLevel]),""))</f>
        <v/>
      </c>
      <c r="T57" t="str">
        <f>IF(F57="","",IFERROR(_xlfn.XLOOKUP(F57,TableLibraryBarriers[Type],TableLibraryBarriers[WorkingWidth]),""))</f>
        <v/>
      </c>
      <c r="U57" t="str">
        <f>IF(F57="","",IFERROR(_xlfn.XLOOKUP(F57,TableLibraryBarriers[Type],TableLibraryBarriers[Layer]),""))</f>
        <v/>
      </c>
      <c r="V57" t="str">
        <f>IF(F57="","",IFERROR(_xlfn.XLOOKUP(F57,TableLibraryBarriers[Type],TableLibraryBarriers[TimeUnitLength(h)]),""))</f>
        <v/>
      </c>
      <c r="W57" t="str">
        <f>IF(F57="","",IFERROR(_xlfn.XLOOKUP(F57,TableLibraryBarriers[Type],TableLibraryBarriers[CostUnitLength]),""))</f>
        <v/>
      </c>
      <c r="X57" t="str">
        <f>IF(F57="","",IFERROR(_xlfn.XLOOKUP(F57,TableLibraryBarriers[Type],TableLibraryBarriers[Notes]),""))</f>
        <v/>
      </c>
      <c r="Y57" s="19"/>
      <c r="Z57" s="19"/>
    </row>
    <row r="58" spans="1:26">
      <c r="A58" t="str">
        <f t="shared" si="0"/>
        <v/>
      </c>
      <c r="C58" s="21"/>
      <c r="D58" s="21"/>
      <c r="E58" s="19"/>
      <c r="G58" s="16" t="str">
        <f>IF(BarriersTable[[#This Row],[PKStartValue]]="","",IF(C58="","",INT(C58/1000)&amp;"+"&amp;TEXT(MOD(C58,1000),"000.00")))</f>
        <v/>
      </c>
      <c r="H58" s="16" t="str">
        <f>IF(BarriersTable[[#This Row],[PKEndValue]]="","",IF(D58="","",INT(D58/1000)&amp;"+"&amp;TEXT(MOD(D58,1000),"000.00")))</f>
        <v/>
      </c>
      <c r="I58" t="str">
        <f>IF(F58="","",IFERROR(_xlfn.XLOOKUP(F58,TableLibraryBarriers[Type],TableLibraryBarriers[BarrierFamily]),""))</f>
        <v/>
      </c>
      <c r="J58" t="str">
        <f>IF(F58="","",IFERROR(_xlfn.XLOOKUP(F58,TableLibraryBarriers[Type],TableLibraryBarriers[BarrierType]),""))</f>
        <v/>
      </c>
      <c r="K58" t="str">
        <f>IF(F58="","",IFERROR(_xlfn.XLOOKUP(F58,TableLibraryBarriers[Type],TableLibraryBarriers[BlockLinear]),""))</f>
        <v/>
      </c>
      <c r="L58" t="str">
        <f>IF(F58="","",IFERROR(_xlfn.XLOOKUP(F58,TableLibraryBarriers[Type],TableLibraryBarriers[BlockPost]),""))</f>
        <v/>
      </c>
      <c r="M58" t="str">
        <f>IF(F58="","",IFERROR(_xlfn.XLOOKUP(F58,TableLibraryBarriers[Type],TableLibraryBarriers[IFCEntity]),""))</f>
        <v/>
      </c>
      <c r="N58" t="str">
        <f>IF(F58="","",IFERROR(_xlfn.XLOOKUP(F58,TableLibraryBarriers[Type],TableLibraryBarriers[Material]),""))</f>
        <v/>
      </c>
      <c r="O58" t="str">
        <f>IF(F58="","",IFERROR(_xlfn.XLOOKUP(F58,TableLibraryBarriers[Type],TableLibraryBarriers[PostSpacing]),""))</f>
        <v/>
      </c>
      <c r="P58" t="str">
        <f>IF(F58="","",IFERROR(_xlfn.XLOOKUP(F58,TableLibraryBarriers[Type],TableLibraryBarriers[ModuleLength]),""))</f>
        <v/>
      </c>
      <c r="Q58" t="str">
        <f>IF(F58="","",IFERROR(_xlfn.XLOOKUP(F58,TableLibraryBarriers[Type],TableLibraryBarriers[Height]),""))</f>
        <v/>
      </c>
      <c r="R58" t="str">
        <f>IF(F58="","",IFERROR(_xlfn.XLOOKUP(F58,TableLibraryBarriers[Type],TableLibraryBarriers[Width]),""))</f>
        <v/>
      </c>
      <c r="S58" t="str">
        <f>IF(F58="","",IFERROR(_xlfn.XLOOKUP(F58,TableLibraryBarriers[Type],TableLibraryBarriers[ContainmentLevel]),""))</f>
        <v/>
      </c>
      <c r="T58" t="str">
        <f>IF(F58="","",IFERROR(_xlfn.XLOOKUP(F58,TableLibraryBarriers[Type],TableLibraryBarriers[WorkingWidth]),""))</f>
        <v/>
      </c>
      <c r="U58" t="str">
        <f>IF(F58="","",IFERROR(_xlfn.XLOOKUP(F58,TableLibraryBarriers[Type],TableLibraryBarriers[Layer]),""))</f>
        <v/>
      </c>
      <c r="V58" t="str">
        <f>IF(F58="","",IFERROR(_xlfn.XLOOKUP(F58,TableLibraryBarriers[Type],TableLibraryBarriers[TimeUnitLength(h)]),""))</f>
        <v/>
      </c>
      <c r="W58" t="str">
        <f>IF(F58="","",IFERROR(_xlfn.XLOOKUP(F58,TableLibraryBarriers[Type],TableLibraryBarriers[CostUnitLength]),""))</f>
        <v/>
      </c>
      <c r="X58" t="str">
        <f>IF(F58="","",IFERROR(_xlfn.XLOOKUP(F58,TableLibraryBarriers[Type],TableLibraryBarriers[Notes]),""))</f>
        <v/>
      </c>
      <c r="Y58" s="19"/>
      <c r="Z58" s="19"/>
    </row>
    <row r="59" spans="1:26">
      <c r="A59" t="str">
        <f t="shared" si="0"/>
        <v/>
      </c>
      <c r="C59" s="21"/>
      <c r="D59" s="21"/>
      <c r="E59" s="19"/>
      <c r="G59" s="16" t="str">
        <f>IF(BarriersTable[[#This Row],[PKStartValue]]="","",IF(C59="","",INT(C59/1000)&amp;"+"&amp;TEXT(MOD(C59,1000),"000.00")))</f>
        <v/>
      </c>
      <c r="H59" s="16" t="str">
        <f>IF(BarriersTable[[#This Row],[PKEndValue]]="","",IF(D59="","",INT(D59/1000)&amp;"+"&amp;TEXT(MOD(D59,1000),"000.00")))</f>
        <v/>
      </c>
      <c r="I59" t="str">
        <f>IF(F59="","",IFERROR(_xlfn.XLOOKUP(F59,TableLibraryBarriers[Type],TableLibraryBarriers[BarrierFamily]),""))</f>
        <v/>
      </c>
      <c r="J59" t="str">
        <f>IF(F59="","",IFERROR(_xlfn.XLOOKUP(F59,TableLibraryBarriers[Type],TableLibraryBarriers[BarrierType]),""))</f>
        <v/>
      </c>
      <c r="K59" t="str">
        <f>IF(F59="","",IFERROR(_xlfn.XLOOKUP(F59,TableLibraryBarriers[Type],TableLibraryBarriers[BlockLinear]),""))</f>
        <v/>
      </c>
      <c r="L59" t="str">
        <f>IF(F59="","",IFERROR(_xlfn.XLOOKUP(F59,TableLibraryBarriers[Type],TableLibraryBarriers[BlockPost]),""))</f>
        <v/>
      </c>
      <c r="M59" t="str">
        <f>IF(F59="","",IFERROR(_xlfn.XLOOKUP(F59,TableLibraryBarriers[Type],TableLibraryBarriers[IFCEntity]),""))</f>
        <v/>
      </c>
      <c r="N59" t="str">
        <f>IF(F59="","",IFERROR(_xlfn.XLOOKUP(F59,TableLibraryBarriers[Type],TableLibraryBarriers[Material]),""))</f>
        <v/>
      </c>
      <c r="O59" t="str">
        <f>IF(F59="","",IFERROR(_xlfn.XLOOKUP(F59,TableLibraryBarriers[Type],TableLibraryBarriers[PostSpacing]),""))</f>
        <v/>
      </c>
      <c r="P59" t="str">
        <f>IF(F59="","",IFERROR(_xlfn.XLOOKUP(F59,TableLibraryBarriers[Type],TableLibraryBarriers[ModuleLength]),""))</f>
        <v/>
      </c>
      <c r="Q59" t="str">
        <f>IF(F59="","",IFERROR(_xlfn.XLOOKUP(F59,TableLibraryBarriers[Type],TableLibraryBarriers[Height]),""))</f>
        <v/>
      </c>
      <c r="R59" t="str">
        <f>IF(F59="","",IFERROR(_xlfn.XLOOKUP(F59,TableLibraryBarriers[Type],TableLibraryBarriers[Width]),""))</f>
        <v/>
      </c>
      <c r="S59" t="str">
        <f>IF(F59="","",IFERROR(_xlfn.XLOOKUP(F59,TableLibraryBarriers[Type],TableLibraryBarriers[ContainmentLevel]),""))</f>
        <v/>
      </c>
      <c r="T59" t="str">
        <f>IF(F59="","",IFERROR(_xlfn.XLOOKUP(F59,TableLibraryBarriers[Type],TableLibraryBarriers[WorkingWidth]),""))</f>
        <v/>
      </c>
      <c r="U59" t="str">
        <f>IF(F59="","",IFERROR(_xlfn.XLOOKUP(F59,TableLibraryBarriers[Type],TableLibraryBarriers[Layer]),""))</f>
        <v/>
      </c>
      <c r="V59" t="str">
        <f>IF(F59="","",IFERROR(_xlfn.XLOOKUP(F59,TableLibraryBarriers[Type],TableLibraryBarriers[TimeUnitLength(h)]),""))</f>
        <v/>
      </c>
      <c r="W59" t="str">
        <f>IF(F59="","",IFERROR(_xlfn.XLOOKUP(F59,TableLibraryBarriers[Type],TableLibraryBarriers[CostUnitLength]),""))</f>
        <v/>
      </c>
      <c r="X59" t="str">
        <f>IF(F59="","",IFERROR(_xlfn.XLOOKUP(F59,TableLibraryBarriers[Type],TableLibraryBarriers[Notes]),""))</f>
        <v/>
      </c>
      <c r="Y59" s="19"/>
      <c r="Z59" s="19"/>
    </row>
    <row r="60" spans="1:26">
      <c r="A60" t="str">
        <f t="shared" si="0"/>
        <v/>
      </c>
      <c r="C60" s="21"/>
      <c r="D60" s="21"/>
      <c r="E60" s="19"/>
      <c r="G60" s="16" t="str">
        <f>IF(BarriersTable[[#This Row],[PKStartValue]]="","",IF(C60="","",INT(C60/1000)&amp;"+"&amp;TEXT(MOD(C60,1000),"000.00")))</f>
        <v/>
      </c>
      <c r="H60" s="16" t="str">
        <f>IF(BarriersTable[[#This Row],[PKEndValue]]="","",IF(D60="","",INT(D60/1000)&amp;"+"&amp;TEXT(MOD(D60,1000),"000.00")))</f>
        <v/>
      </c>
      <c r="I60" t="str">
        <f>IF(F60="","",IFERROR(_xlfn.XLOOKUP(F60,TableLibraryBarriers[Type],TableLibraryBarriers[BarrierFamily]),""))</f>
        <v/>
      </c>
      <c r="J60" t="str">
        <f>IF(F60="","",IFERROR(_xlfn.XLOOKUP(F60,TableLibraryBarriers[Type],TableLibraryBarriers[BarrierType]),""))</f>
        <v/>
      </c>
      <c r="K60" t="str">
        <f>IF(F60="","",IFERROR(_xlfn.XLOOKUP(F60,TableLibraryBarriers[Type],TableLibraryBarriers[BlockLinear]),""))</f>
        <v/>
      </c>
      <c r="L60" t="str">
        <f>IF(F60="","",IFERROR(_xlfn.XLOOKUP(F60,TableLibraryBarriers[Type],TableLibraryBarriers[BlockPost]),""))</f>
        <v/>
      </c>
      <c r="M60" t="str">
        <f>IF(F60="","",IFERROR(_xlfn.XLOOKUP(F60,TableLibraryBarriers[Type],TableLibraryBarriers[IFCEntity]),""))</f>
        <v/>
      </c>
      <c r="N60" t="str">
        <f>IF(F60="","",IFERROR(_xlfn.XLOOKUP(F60,TableLibraryBarriers[Type],TableLibraryBarriers[Material]),""))</f>
        <v/>
      </c>
      <c r="O60" t="str">
        <f>IF(F60="","",IFERROR(_xlfn.XLOOKUP(F60,TableLibraryBarriers[Type],TableLibraryBarriers[PostSpacing]),""))</f>
        <v/>
      </c>
      <c r="P60" t="str">
        <f>IF(F60="","",IFERROR(_xlfn.XLOOKUP(F60,TableLibraryBarriers[Type],TableLibraryBarriers[ModuleLength]),""))</f>
        <v/>
      </c>
      <c r="Q60" t="str">
        <f>IF(F60="","",IFERROR(_xlfn.XLOOKUP(F60,TableLibraryBarriers[Type],TableLibraryBarriers[Height]),""))</f>
        <v/>
      </c>
      <c r="R60" t="str">
        <f>IF(F60="","",IFERROR(_xlfn.XLOOKUP(F60,TableLibraryBarriers[Type],TableLibraryBarriers[Width]),""))</f>
        <v/>
      </c>
      <c r="S60" t="str">
        <f>IF(F60="","",IFERROR(_xlfn.XLOOKUP(F60,TableLibraryBarriers[Type],TableLibraryBarriers[ContainmentLevel]),""))</f>
        <v/>
      </c>
      <c r="T60" t="str">
        <f>IF(F60="","",IFERROR(_xlfn.XLOOKUP(F60,TableLibraryBarriers[Type],TableLibraryBarriers[WorkingWidth]),""))</f>
        <v/>
      </c>
      <c r="U60" t="str">
        <f>IF(F60="","",IFERROR(_xlfn.XLOOKUP(F60,TableLibraryBarriers[Type],TableLibraryBarriers[Layer]),""))</f>
        <v/>
      </c>
      <c r="V60" t="str">
        <f>IF(F60="","",IFERROR(_xlfn.XLOOKUP(F60,TableLibraryBarriers[Type],TableLibraryBarriers[TimeUnitLength(h)]),""))</f>
        <v/>
      </c>
      <c r="W60" t="str">
        <f>IF(F60="","",IFERROR(_xlfn.XLOOKUP(F60,TableLibraryBarriers[Type],TableLibraryBarriers[CostUnitLength]),""))</f>
        <v/>
      </c>
      <c r="X60" t="str">
        <f>IF(F60="","",IFERROR(_xlfn.XLOOKUP(F60,TableLibraryBarriers[Type],TableLibraryBarriers[Notes]),""))</f>
        <v/>
      </c>
      <c r="Y60" s="19"/>
      <c r="Z60" s="19"/>
    </row>
    <row r="61" spans="1:26">
      <c r="A61" t="str">
        <f t="shared" si="0"/>
        <v/>
      </c>
      <c r="C61" s="21"/>
      <c r="D61" s="21"/>
      <c r="E61" s="19"/>
      <c r="G61" s="16" t="str">
        <f>IF(BarriersTable[[#This Row],[PKStartValue]]="","",IF(C61="","",INT(C61/1000)&amp;"+"&amp;TEXT(MOD(C61,1000),"000.00")))</f>
        <v/>
      </c>
      <c r="H61" s="16" t="str">
        <f>IF(BarriersTable[[#This Row],[PKEndValue]]="","",IF(D61="","",INT(D61/1000)&amp;"+"&amp;TEXT(MOD(D61,1000),"000.00")))</f>
        <v/>
      </c>
      <c r="I61" t="str">
        <f>IF(F61="","",IFERROR(_xlfn.XLOOKUP(F61,TableLibraryBarriers[Type],TableLibraryBarriers[BarrierFamily]),""))</f>
        <v/>
      </c>
      <c r="J61" t="str">
        <f>IF(F61="","",IFERROR(_xlfn.XLOOKUP(F61,TableLibraryBarriers[Type],TableLibraryBarriers[BarrierType]),""))</f>
        <v/>
      </c>
      <c r="K61" t="str">
        <f>IF(F61="","",IFERROR(_xlfn.XLOOKUP(F61,TableLibraryBarriers[Type],TableLibraryBarriers[BlockLinear]),""))</f>
        <v/>
      </c>
      <c r="L61" t="str">
        <f>IF(F61="","",IFERROR(_xlfn.XLOOKUP(F61,TableLibraryBarriers[Type],TableLibraryBarriers[BlockPost]),""))</f>
        <v/>
      </c>
      <c r="M61" t="str">
        <f>IF(F61="","",IFERROR(_xlfn.XLOOKUP(F61,TableLibraryBarriers[Type],TableLibraryBarriers[IFCEntity]),""))</f>
        <v/>
      </c>
      <c r="N61" t="str">
        <f>IF(F61="","",IFERROR(_xlfn.XLOOKUP(F61,TableLibraryBarriers[Type],TableLibraryBarriers[Material]),""))</f>
        <v/>
      </c>
      <c r="O61" t="str">
        <f>IF(F61="","",IFERROR(_xlfn.XLOOKUP(F61,TableLibraryBarriers[Type],TableLibraryBarriers[PostSpacing]),""))</f>
        <v/>
      </c>
      <c r="P61" t="str">
        <f>IF(F61="","",IFERROR(_xlfn.XLOOKUP(F61,TableLibraryBarriers[Type],TableLibraryBarriers[ModuleLength]),""))</f>
        <v/>
      </c>
      <c r="Q61" t="str">
        <f>IF(F61="","",IFERROR(_xlfn.XLOOKUP(F61,TableLibraryBarriers[Type],TableLibraryBarriers[Height]),""))</f>
        <v/>
      </c>
      <c r="R61" t="str">
        <f>IF(F61="","",IFERROR(_xlfn.XLOOKUP(F61,TableLibraryBarriers[Type],TableLibraryBarriers[Width]),""))</f>
        <v/>
      </c>
      <c r="S61" t="str">
        <f>IF(F61="","",IFERROR(_xlfn.XLOOKUP(F61,TableLibraryBarriers[Type],TableLibraryBarriers[ContainmentLevel]),""))</f>
        <v/>
      </c>
      <c r="T61" t="str">
        <f>IF(F61="","",IFERROR(_xlfn.XLOOKUP(F61,TableLibraryBarriers[Type],TableLibraryBarriers[WorkingWidth]),""))</f>
        <v/>
      </c>
      <c r="U61" t="str">
        <f>IF(F61="","",IFERROR(_xlfn.XLOOKUP(F61,TableLibraryBarriers[Type],TableLibraryBarriers[Layer]),""))</f>
        <v/>
      </c>
      <c r="V61" t="str">
        <f>IF(F61="","",IFERROR(_xlfn.XLOOKUP(F61,TableLibraryBarriers[Type],TableLibraryBarriers[TimeUnitLength(h)]),""))</f>
        <v/>
      </c>
      <c r="W61" t="str">
        <f>IF(F61="","",IFERROR(_xlfn.XLOOKUP(F61,TableLibraryBarriers[Type],TableLibraryBarriers[CostUnitLength]),""))</f>
        <v/>
      </c>
      <c r="X61" t="str">
        <f>IF(F61="","",IFERROR(_xlfn.XLOOKUP(F61,TableLibraryBarriers[Type],TableLibraryBarriers[Notes]),""))</f>
        <v/>
      </c>
      <c r="Y61" s="19"/>
      <c r="Z61" s="19"/>
    </row>
    <row r="62" spans="1:26">
      <c r="A62" t="str">
        <f t="shared" si="0"/>
        <v/>
      </c>
      <c r="C62" s="21"/>
      <c r="D62" s="21"/>
      <c r="E62" s="19"/>
      <c r="G62" s="16" t="str">
        <f>IF(BarriersTable[[#This Row],[PKStartValue]]="","",IF(C62="","",INT(C62/1000)&amp;"+"&amp;TEXT(MOD(C62,1000),"000.00")))</f>
        <v/>
      </c>
      <c r="H62" s="16" t="str">
        <f>IF(BarriersTable[[#This Row],[PKEndValue]]="","",IF(D62="","",INT(D62/1000)&amp;"+"&amp;TEXT(MOD(D62,1000),"000.00")))</f>
        <v/>
      </c>
      <c r="I62" t="str">
        <f>IF(F62="","",IFERROR(_xlfn.XLOOKUP(F62,TableLibraryBarriers[Type],TableLibraryBarriers[BarrierFamily]),""))</f>
        <v/>
      </c>
      <c r="J62" t="str">
        <f>IF(F62="","",IFERROR(_xlfn.XLOOKUP(F62,TableLibraryBarriers[Type],TableLibraryBarriers[BarrierType]),""))</f>
        <v/>
      </c>
      <c r="K62" t="str">
        <f>IF(F62="","",IFERROR(_xlfn.XLOOKUP(F62,TableLibraryBarriers[Type],TableLibraryBarriers[BlockLinear]),""))</f>
        <v/>
      </c>
      <c r="L62" t="str">
        <f>IF(F62="","",IFERROR(_xlfn.XLOOKUP(F62,TableLibraryBarriers[Type],TableLibraryBarriers[BlockPost]),""))</f>
        <v/>
      </c>
      <c r="M62" t="str">
        <f>IF(F62="","",IFERROR(_xlfn.XLOOKUP(F62,TableLibraryBarriers[Type],TableLibraryBarriers[IFCEntity]),""))</f>
        <v/>
      </c>
      <c r="N62" t="str">
        <f>IF(F62="","",IFERROR(_xlfn.XLOOKUP(F62,TableLibraryBarriers[Type],TableLibraryBarriers[Material]),""))</f>
        <v/>
      </c>
      <c r="O62" t="str">
        <f>IF(F62="","",IFERROR(_xlfn.XLOOKUP(F62,TableLibraryBarriers[Type],TableLibraryBarriers[PostSpacing]),""))</f>
        <v/>
      </c>
      <c r="P62" t="str">
        <f>IF(F62="","",IFERROR(_xlfn.XLOOKUP(F62,TableLibraryBarriers[Type],TableLibraryBarriers[ModuleLength]),""))</f>
        <v/>
      </c>
      <c r="Q62" t="str">
        <f>IF(F62="","",IFERROR(_xlfn.XLOOKUP(F62,TableLibraryBarriers[Type],TableLibraryBarriers[Height]),""))</f>
        <v/>
      </c>
      <c r="R62" t="str">
        <f>IF(F62="","",IFERROR(_xlfn.XLOOKUP(F62,TableLibraryBarriers[Type],TableLibraryBarriers[Width]),""))</f>
        <v/>
      </c>
      <c r="S62" t="str">
        <f>IF(F62="","",IFERROR(_xlfn.XLOOKUP(F62,TableLibraryBarriers[Type],TableLibraryBarriers[ContainmentLevel]),""))</f>
        <v/>
      </c>
      <c r="T62" t="str">
        <f>IF(F62="","",IFERROR(_xlfn.XLOOKUP(F62,TableLibraryBarriers[Type],TableLibraryBarriers[WorkingWidth]),""))</f>
        <v/>
      </c>
      <c r="U62" t="str">
        <f>IF(F62="","",IFERROR(_xlfn.XLOOKUP(F62,TableLibraryBarriers[Type],TableLibraryBarriers[Layer]),""))</f>
        <v/>
      </c>
      <c r="V62" t="str">
        <f>IF(F62="","",IFERROR(_xlfn.XLOOKUP(F62,TableLibraryBarriers[Type],TableLibraryBarriers[TimeUnitLength(h)]),""))</f>
        <v/>
      </c>
      <c r="W62" t="str">
        <f>IF(F62="","",IFERROR(_xlfn.XLOOKUP(F62,TableLibraryBarriers[Type],TableLibraryBarriers[CostUnitLength]),""))</f>
        <v/>
      </c>
      <c r="X62" t="str">
        <f>IF(F62="","",IFERROR(_xlfn.XLOOKUP(F62,TableLibraryBarriers[Type],TableLibraryBarriers[Notes]),""))</f>
        <v/>
      </c>
      <c r="Y62" s="19"/>
      <c r="Z62" s="19"/>
    </row>
    <row r="63" spans="1:26">
      <c r="A63" t="str">
        <f t="shared" si="0"/>
        <v/>
      </c>
      <c r="C63" s="21"/>
      <c r="D63" s="21"/>
      <c r="E63" s="19"/>
      <c r="G63" s="16" t="str">
        <f>IF(BarriersTable[[#This Row],[PKStartValue]]="","",IF(C63="","",INT(C63/1000)&amp;"+"&amp;TEXT(MOD(C63,1000),"000.00")))</f>
        <v/>
      </c>
      <c r="H63" s="16" t="str">
        <f>IF(BarriersTable[[#This Row],[PKEndValue]]="","",IF(D63="","",INT(D63/1000)&amp;"+"&amp;TEXT(MOD(D63,1000),"000.00")))</f>
        <v/>
      </c>
      <c r="I63" t="str">
        <f>IF(F63="","",IFERROR(_xlfn.XLOOKUP(F63,TableLibraryBarriers[Type],TableLibraryBarriers[BarrierFamily]),""))</f>
        <v/>
      </c>
      <c r="J63" t="str">
        <f>IF(F63="","",IFERROR(_xlfn.XLOOKUP(F63,TableLibraryBarriers[Type],TableLibraryBarriers[BarrierType]),""))</f>
        <v/>
      </c>
      <c r="K63" t="str">
        <f>IF(F63="","",IFERROR(_xlfn.XLOOKUP(F63,TableLibraryBarriers[Type],TableLibraryBarriers[BlockLinear]),""))</f>
        <v/>
      </c>
      <c r="L63" t="str">
        <f>IF(F63="","",IFERROR(_xlfn.XLOOKUP(F63,TableLibraryBarriers[Type],TableLibraryBarriers[BlockPost]),""))</f>
        <v/>
      </c>
      <c r="M63" t="str">
        <f>IF(F63="","",IFERROR(_xlfn.XLOOKUP(F63,TableLibraryBarriers[Type],TableLibraryBarriers[IFCEntity]),""))</f>
        <v/>
      </c>
      <c r="N63" t="str">
        <f>IF(F63="","",IFERROR(_xlfn.XLOOKUP(F63,TableLibraryBarriers[Type],TableLibraryBarriers[Material]),""))</f>
        <v/>
      </c>
      <c r="O63" t="str">
        <f>IF(F63="","",IFERROR(_xlfn.XLOOKUP(F63,TableLibraryBarriers[Type],TableLibraryBarriers[PostSpacing]),""))</f>
        <v/>
      </c>
      <c r="P63" t="str">
        <f>IF(F63="","",IFERROR(_xlfn.XLOOKUP(F63,TableLibraryBarriers[Type],TableLibraryBarriers[ModuleLength]),""))</f>
        <v/>
      </c>
      <c r="Q63" t="str">
        <f>IF(F63="","",IFERROR(_xlfn.XLOOKUP(F63,TableLibraryBarriers[Type],TableLibraryBarriers[Height]),""))</f>
        <v/>
      </c>
      <c r="R63" t="str">
        <f>IF(F63="","",IFERROR(_xlfn.XLOOKUP(F63,TableLibraryBarriers[Type],TableLibraryBarriers[Width]),""))</f>
        <v/>
      </c>
      <c r="S63" t="str">
        <f>IF(F63="","",IFERROR(_xlfn.XLOOKUP(F63,TableLibraryBarriers[Type],TableLibraryBarriers[ContainmentLevel]),""))</f>
        <v/>
      </c>
      <c r="T63" t="str">
        <f>IF(F63="","",IFERROR(_xlfn.XLOOKUP(F63,TableLibraryBarriers[Type],TableLibraryBarriers[WorkingWidth]),""))</f>
        <v/>
      </c>
      <c r="U63" t="str">
        <f>IF(F63="","",IFERROR(_xlfn.XLOOKUP(F63,TableLibraryBarriers[Type],TableLibraryBarriers[Layer]),""))</f>
        <v/>
      </c>
      <c r="V63" t="str">
        <f>IF(F63="","",IFERROR(_xlfn.XLOOKUP(F63,TableLibraryBarriers[Type],TableLibraryBarriers[TimeUnitLength(h)]),""))</f>
        <v/>
      </c>
      <c r="W63" t="str">
        <f>IF(F63="","",IFERROR(_xlfn.XLOOKUP(F63,TableLibraryBarriers[Type],TableLibraryBarriers[CostUnitLength]),""))</f>
        <v/>
      </c>
      <c r="X63" t="str">
        <f>IF(F63="","",IFERROR(_xlfn.XLOOKUP(F63,TableLibraryBarriers[Type],TableLibraryBarriers[Notes]),""))</f>
        <v/>
      </c>
      <c r="Y63" s="19"/>
      <c r="Z63" s="19"/>
    </row>
    <row r="64" spans="1:26">
      <c r="A64" t="str">
        <f t="shared" si="0"/>
        <v/>
      </c>
      <c r="C64" s="21"/>
      <c r="D64" s="21"/>
      <c r="E64" s="19"/>
      <c r="G64" s="16" t="str">
        <f>IF(BarriersTable[[#This Row],[PKStartValue]]="","",IF(C64="","",INT(C64/1000)&amp;"+"&amp;TEXT(MOD(C64,1000),"000.00")))</f>
        <v/>
      </c>
      <c r="H64" s="16" t="str">
        <f>IF(BarriersTable[[#This Row],[PKEndValue]]="","",IF(D64="","",INT(D64/1000)&amp;"+"&amp;TEXT(MOD(D64,1000),"000.00")))</f>
        <v/>
      </c>
      <c r="I64" t="str">
        <f>IF(F64="","",IFERROR(_xlfn.XLOOKUP(F64,TableLibraryBarriers[Type],TableLibraryBarriers[BarrierFamily]),""))</f>
        <v/>
      </c>
      <c r="J64" t="str">
        <f>IF(F64="","",IFERROR(_xlfn.XLOOKUP(F64,TableLibraryBarriers[Type],TableLibraryBarriers[BarrierType]),""))</f>
        <v/>
      </c>
      <c r="K64" t="str">
        <f>IF(F64="","",IFERROR(_xlfn.XLOOKUP(F64,TableLibraryBarriers[Type],TableLibraryBarriers[BlockLinear]),""))</f>
        <v/>
      </c>
      <c r="L64" t="str">
        <f>IF(F64="","",IFERROR(_xlfn.XLOOKUP(F64,TableLibraryBarriers[Type],TableLibraryBarriers[BlockPost]),""))</f>
        <v/>
      </c>
      <c r="M64" t="str">
        <f>IF(F64="","",IFERROR(_xlfn.XLOOKUP(F64,TableLibraryBarriers[Type],TableLibraryBarriers[IFCEntity]),""))</f>
        <v/>
      </c>
      <c r="N64" t="str">
        <f>IF(F64="","",IFERROR(_xlfn.XLOOKUP(F64,TableLibraryBarriers[Type],TableLibraryBarriers[Material]),""))</f>
        <v/>
      </c>
      <c r="O64" t="str">
        <f>IF(F64="","",IFERROR(_xlfn.XLOOKUP(F64,TableLibraryBarriers[Type],TableLibraryBarriers[PostSpacing]),""))</f>
        <v/>
      </c>
      <c r="P64" t="str">
        <f>IF(F64="","",IFERROR(_xlfn.XLOOKUP(F64,TableLibraryBarriers[Type],TableLibraryBarriers[ModuleLength]),""))</f>
        <v/>
      </c>
      <c r="Q64" t="str">
        <f>IF(F64="","",IFERROR(_xlfn.XLOOKUP(F64,TableLibraryBarriers[Type],TableLibraryBarriers[Height]),""))</f>
        <v/>
      </c>
      <c r="R64" t="str">
        <f>IF(F64="","",IFERROR(_xlfn.XLOOKUP(F64,TableLibraryBarriers[Type],TableLibraryBarriers[Width]),""))</f>
        <v/>
      </c>
      <c r="S64" t="str">
        <f>IF(F64="","",IFERROR(_xlfn.XLOOKUP(F64,TableLibraryBarriers[Type],TableLibraryBarriers[ContainmentLevel]),""))</f>
        <v/>
      </c>
      <c r="T64" t="str">
        <f>IF(F64="","",IFERROR(_xlfn.XLOOKUP(F64,TableLibraryBarriers[Type],TableLibraryBarriers[WorkingWidth]),""))</f>
        <v/>
      </c>
      <c r="U64" t="str">
        <f>IF(F64="","",IFERROR(_xlfn.XLOOKUP(F64,TableLibraryBarriers[Type],TableLibraryBarriers[Layer]),""))</f>
        <v/>
      </c>
      <c r="V64" t="str">
        <f>IF(F64="","",IFERROR(_xlfn.XLOOKUP(F64,TableLibraryBarriers[Type],TableLibraryBarriers[TimeUnitLength(h)]),""))</f>
        <v/>
      </c>
      <c r="W64" t="str">
        <f>IF(F64="","",IFERROR(_xlfn.XLOOKUP(F64,TableLibraryBarriers[Type],TableLibraryBarriers[CostUnitLength]),""))</f>
        <v/>
      </c>
      <c r="X64" t="str">
        <f>IF(F64="","",IFERROR(_xlfn.XLOOKUP(F64,TableLibraryBarriers[Type],TableLibraryBarriers[Notes]),""))</f>
        <v/>
      </c>
      <c r="Y64" s="19"/>
      <c r="Z64" s="19"/>
    </row>
    <row r="65" spans="1:26">
      <c r="A65" t="str">
        <f t="shared" si="0"/>
        <v/>
      </c>
      <c r="C65" s="21"/>
      <c r="D65" s="21"/>
      <c r="E65" s="19"/>
      <c r="G65" s="16" t="str">
        <f>IF(BarriersTable[[#This Row],[PKStartValue]]="","",IF(C65="","",INT(C65/1000)&amp;"+"&amp;TEXT(MOD(C65,1000),"000.00")))</f>
        <v/>
      </c>
      <c r="H65" s="16" t="str">
        <f>IF(BarriersTable[[#This Row],[PKEndValue]]="","",IF(D65="","",INT(D65/1000)&amp;"+"&amp;TEXT(MOD(D65,1000),"000.00")))</f>
        <v/>
      </c>
      <c r="I65" t="str">
        <f>IF(F65="","",IFERROR(_xlfn.XLOOKUP(F65,TableLibraryBarriers[Type],TableLibraryBarriers[BarrierFamily]),""))</f>
        <v/>
      </c>
      <c r="J65" t="str">
        <f>IF(F65="","",IFERROR(_xlfn.XLOOKUP(F65,TableLibraryBarriers[Type],TableLibraryBarriers[BarrierType]),""))</f>
        <v/>
      </c>
      <c r="K65" t="str">
        <f>IF(F65="","",IFERROR(_xlfn.XLOOKUP(F65,TableLibraryBarriers[Type],TableLibraryBarriers[BlockLinear]),""))</f>
        <v/>
      </c>
      <c r="L65" t="str">
        <f>IF(F65="","",IFERROR(_xlfn.XLOOKUP(F65,TableLibraryBarriers[Type],TableLibraryBarriers[BlockPost]),""))</f>
        <v/>
      </c>
      <c r="M65" t="str">
        <f>IF(F65="","",IFERROR(_xlfn.XLOOKUP(F65,TableLibraryBarriers[Type],TableLibraryBarriers[IFCEntity]),""))</f>
        <v/>
      </c>
      <c r="N65" t="str">
        <f>IF(F65="","",IFERROR(_xlfn.XLOOKUP(F65,TableLibraryBarriers[Type],TableLibraryBarriers[Material]),""))</f>
        <v/>
      </c>
      <c r="O65" t="str">
        <f>IF(F65="","",IFERROR(_xlfn.XLOOKUP(F65,TableLibraryBarriers[Type],TableLibraryBarriers[PostSpacing]),""))</f>
        <v/>
      </c>
      <c r="P65" t="str">
        <f>IF(F65="","",IFERROR(_xlfn.XLOOKUP(F65,TableLibraryBarriers[Type],TableLibraryBarriers[ModuleLength]),""))</f>
        <v/>
      </c>
      <c r="Q65" t="str">
        <f>IF(F65="","",IFERROR(_xlfn.XLOOKUP(F65,TableLibraryBarriers[Type],TableLibraryBarriers[Height]),""))</f>
        <v/>
      </c>
      <c r="R65" t="str">
        <f>IF(F65="","",IFERROR(_xlfn.XLOOKUP(F65,TableLibraryBarriers[Type],TableLibraryBarriers[Width]),""))</f>
        <v/>
      </c>
      <c r="S65" t="str">
        <f>IF(F65="","",IFERROR(_xlfn.XLOOKUP(F65,TableLibraryBarriers[Type],TableLibraryBarriers[ContainmentLevel]),""))</f>
        <v/>
      </c>
      <c r="T65" t="str">
        <f>IF(F65="","",IFERROR(_xlfn.XLOOKUP(F65,TableLibraryBarriers[Type],TableLibraryBarriers[WorkingWidth]),""))</f>
        <v/>
      </c>
      <c r="U65" t="str">
        <f>IF(F65="","",IFERROR(_xlfn.XLOOKUP(F65,TableLibraryBarriers[Type],TableLibraryBarriers[Layer]),""))</f>
        <v/>
      </c>
      <c r="V65" t="str">
        <f>IF(F65="","",IFERROR(_xlfn.XLOOKUP(F65,TableLibraryBarriers[Type],TableLibraryBarriers[TimeUnitLength(h)]),""))</f>
        <v/>
      </c>
      <c r="W65" t="str">
        <f>IF(F65="","",IFERROR(_xlfn.XLOOKUP(F65,TableLibraryBarriers[Type],TableLibraryBarriers[CostUnitLength]),""))</f>
        <v/>
      </c>
      <c r="X65" t="str">
        <f>IF(F65="","",IFERROR(_xlfn.XLOOKUP(F65,TableLibraryBarriers[Type],TableLibraryBarriers[Notes]),""))</f>
        <v/>
      </c>
      <c r="Y65" s="19"/>
      <c r="Z65" s="19"/>
    </row>
    <row r="66" spans="1:26">
      <c r="A66" t="str">
        <f t="shared" ref="A66:A129" si="1">IF(B66="","","B"&amp;TEXT(ROW()-1,"000"))</f>
        <v/>
      </c>
      <c r="C66" s="21"/>
      <c r="D66" s="21"/>
      <c r="E66" s="19"/>
      <c r="G66" s="16" t="str">
        <f>IF(BarriersTable[[#This Row],[PKStartValue]]="","",IF(C66="","",INT(C66/1000)&amp;"+"&amp;TEXT(MOD(C66,1000),"000.00")))</f>
        <v/>
      </c>
      <c r="H66" s="16" t="str">
        <f>IF(BarriersTable[[#This Row],[PKEndValue]]="","",IF(D66="","",INT(D66/1000)&amp;"+"&amp;TEXT(MOD(D66,1000),"000.00")))</f>
        <v/>
      </c>
      <c r="I66" t="str">
        <f>IF(F66="","",IFERROR(_xlfn.XLOOKUP(F66,TableLibraryBarriers[Type],TableLibraryBarriers[BarrierFamily]),""))</f>
        <v/>
      </c>
      <c r="J66" t="str">
        <f>IF(F66="","",IFERROR(_xlfn.XLOOKUP(F66,TableLibraryBarriers[Type],TableLibraryBarriers[BarrierType]),""))</f>
        <v/>
      </c>
      <c r="K66" t="str">
        <f>IF(F66="","",IFERROR(_xlfn.XLOOKUP(F66,TableLibraryBarriers[Type],TableLibraryBarriers[BlockLinear]),""))</f>
        <v/>
      </c>
      <c r="L66" t="str">
        <f>IF(F66="","",IFERROR(_xlfn.XLOOKUP(F66,TableLibraryBarriers[Type],TableLibraryBarriers[BlockPost]),""))</f>
        <v/>
      </c>
      <c r="M66" t="str">
        <f>IF(F66="","",IFERROR(_xlfn.XLOOKUP(F66,TableLibraryBarriers[Type],TableLibraryBarriers[IFCEntity]),""))</f>
        <v/>
      </c>
      <c r="N66" t="str">
        <f>IF(F66="","",IFERROR(_xlfn.XLOOKUP(F66,TableLibraryBarriers[Type],TableLibraryBarriers[Material]),""))</f>
        <v/>
      </c>
      <c r="O66" t="str">
        <f>IF(F66="","",IFERROR(_xlfn.XLOOKUP(F66,TableLibraryBarriers[Type],TableLibraryBarriers[PostSpacing]),""))</f>
        <v/>
      </c>
      <c r="P66" t="str">
        <f>IF(F66="","",IFERROR(_xlfn.XLOOKUP(F66,TableLibraryBarriers[Type],TableLibraryBarriers[ModuleLength]),""))</f>
        <v/>
      </c>
      <c r="Q66" t="str">
        <f>IF(F66="","",IFERROR(_xlfn.XLOOKUP(F66,TableLibraryBarriers[Type],TableLibraryBarriers[Height]),""))</f>
        <v/>
      </c>
      <c r="R66" t="str">
        <f>IF(F66="","",IFERROR(_xlfn.XLOOKUP(F66,TableLibraryBarriers[Type],TableLibraryBarriers[Width]),""))</f>
        <v/>
      </c>
      <c r="S66" t="str">
        <f>IF(F66="","",IFERROR(_xlfn.XLOOKUP(F66,TableLibraryBarriers[Type],TableLibraryBarriers[ContainmentLevel]),""))</f>
        <v/>
      </c>
      <c r="T66" t="str">
        <f>IF(F66="","",IFERROR(_xlfn.XLOOKUP(F66,TableLibraryBarriers[Type],TableLibraryBarriers[WorkingWidth]),""))</f>
        <v/>
      </c>
      <c r="U66" t="str">
        <f>IF(F66="","",IFERROR(_xlfn.XLOOKUP(F66,TableLibraryBarriers[Type],TableLibraryBarriers[Layer]),""))</f>
        <v/>
      </c>
      <c r="V66" t="str">
        <f>IF(F66="","",IFERROR(_xlfn.XLOOKUP(F66,TableLibraryBarriers[Type],TableLibraryBarriers[TimeUnitLength(h)]),""))</f>
        <v/>
      </c>
      <c r="W66" t="str">
        <f>IF(F66="","",IFERROR(_xlfn.XLOOKUP(F66,TableLibraryBarriers[Type],TableLibraryBarriers[CostUnitLength]),""))</f>
        <v/>
      </c>
      <c r="X66" t="str">
        <f>IF(F66="","",IFERROR(_xlfn.XLOOKUP(F66,TableLibraryBarriers[Type],TableLibraryBarriers[Notes]),""))</f>
        <v/>
      </c>
      <c r="Y66" s="19"/>
      <c r="Z66" s="19"/>
    </row>
    <row r="67" spans="1:26">
      <c r="A67" t="str">
        <f t="shared" si="1"/>
        <v/>
      </c>
      <c r="C67" s="21"/>
      <c r="D67" s="21"/>
      <c r="E67" s="19"/>
      <c r="G67" s="16" t="str">
        <f>IF(BarriersTable[[#This Row],[PKStartValue]]="","",IF(C67="","",INT(C67/1000)&amp;"+"&amp;TEXT(MOD(C67,1000),"000.00")))</f>
        <v/>
      </c>
      <c r="H67" s="16" t="str">
        <f>IF(BarriersTable[[#This Row],[PKEndValue]]="","",IF(D67="","",INT(D67/1000)&amp;"+"&amp;TEXT(MOD(D67,1000),"000.00")))</f>
        <v/>
      </c>
      <c r="I67" t="str">
        <f>IF(F67="","",IFERROR(_xlfn.XLOOKUP(F67,TableLibraryBarriers[Type],TableLibraryBarriers[BarrierFamily]),""))</f>
        <v/>
      </c>
      <c r="J67" t="str">
        <f>IF(F67="","",IFERROR(_xlfn.XLOOKUP(F67,TableLibraryBarriers[Type],TableLibraryBarriers[BarrierType]),""))</f>
        <v/>
      </c>
      <c r="K67" t="str">
        <f>IF(F67="","",IFERROR(_xlfn.XLOOKUP(F67,TableLibraryBarriers[Type],TableLibraryBarriers[BlockLinear]),""))</f>
        <v/>
      </c>
      <c r="L67" t="str">
        <f>IF(F67="","",IFERROR(_xlfn.XLOOKUP(F67,TableLibraryBarriers[Type],TableLibraryBarriers[BlockPost]),""))</f>
        <v/>
      </c>
      <c r="M67" t="str">
        <f>IF(F67="","",IFERROR(_xlfn.XLOOKUP(F67,TableLibraryBarriers[Type],TableLibraryBarriers[IFCEntity]),""))</f>
        <v/>
      </c>
      <c r="N67" t="str">
        <f>IF(F67="","",IFERROR(_xlfn.XLOOKUP(F67,TableLibraryBarriers[Type],TableLibraryBarriers[Material]),""))</f>
        <v/>
      </c>
      <c r="O67" t="str">
        <f>IF(F67="","",IFERROR(_xlfn.XLOOKUP(F67,TableLibraryBarriers[Type],TableLibraryBarriers[PostSpacing]),""))</f>
        <v/>
      </c>
      <c r="P67" t="str">
        <f>IF(F67="","",IFERROR(_xlfn.XLOOKUP(F67,TableLibraryBarriers[Type],TableLibraryBarriers[ModuleLength]),""))</f>
        <v/>
      </c>
      <c r="Q67" t="str">
        <f>IF(F67="","",IFERROR(_xlfn.XLOOKUP(F67,TableLibraryBarriers[Type],TableLibraryBarriers[Height]),""))</f>
        <v/>
      </c>
      <c r="R67" t="str">
        <f>IF(F67="","",IFERROR(_xlfn.XLOOKUP(F67,TableLibraryBarriers[Type],TableLibraryBarriers[Width]),""))</f>
        <v/>
      </c>
      <c r="S67" t="str">
        <f>IF(F67="","",IFERROR(_xlfn.XLOOKUP(F67,TableLibraryBarriers[Type],TableLibraryBarriers[ContainmentLevel]),""))</f>
        <v/>
      </c>
      <c r="T67" t="str">
        <f>IF(F67="","",IFERROR(_xlfn.XLOOKUP(F67,TableLibraryBarriers[Type],TableLibraryBarriers[WorkingWidth]),""))</f>
        <v/>
      </c>
      <c r="U67" t="str">
        <f>IF(F67="","",IFERROR(_xlfn.XLOOKUP(F67,TableLibraryBarriers[Type],TableLibraryBarriers[Layer]),""))</f>
        <v/>
      </c>
      <c r="V67" t="str">
        <f>IF(F67="","",IFERROR(_xlfn.XLOOKUP(F67,TableLibraryBarriers[Type],TableLibraryBarriers[TimeUnitLength(h)]),""))</f>
        <v/>
      </c>
      <c r="W67" t="str">
        <f>IF(F67="","",IFERROR(_xlfn.XLOOKUP(F67,TableLibraryBarriers[Type],TableLibraryBarriers[CostUnitLength]),""))</f>
        <v/>
      </c>
      <c r="X67" t="str">
        <f>IF(F67="","",IFERROR(_xlfn.XLOOKUP(F67,TableLibraryBarriers[Type],TableLibraryBarriers[Notes]),""))</f>
        <v/>
      </c>
      <c r="Y67" s="19"/>
      <c r="Z67" s="19"/>
    </row>
    <row r="68" spans="1:26">
      <c r="A68" t="str">
        <f t="shared" si="1"/>
        <v/>
      </c>
      <c r="C68" s="21"/>
      <c r="D68" s="21"/>
      <c r="E68" s="19"/>
      <c r="G68" s="16" t="str">
        <f>IF(BarriersTable[[#This Row],[PKStartValue]]="","",IF(C68="","",INT(C68/1000)&amp;"+"&amp;TEXT(MOD(C68,1000),"000.00")))</f>
        <v/>
      </c>
      <c r="H68" s="16" t="str">
        <f>IF(BarriersTable[[#This Row],[PKEndValue]]="","",IF(D68="","",INT(D68/1000)&amp;"+"&amp;TEXT(MOD(D68,1000),"000.00")))</f>
        <v/>
      </c>
      <c r="I68" t="str">
        <f>IF(F68="","",IFERROR(_xlfn.XLOOKUP(F68,TableLibraryBarriers[Type],TableLibraryBarriers[BarrierFamily]),""))</f>
        <v/>
      </c>
      <c r="J68" t="str">
        <f>IF(F68="","",IFERROR(_xlfn.XLOOKUP(F68,TableLibraryBarriers[Type],TableLibraryBarriers[BarrierType]),""))</f>
        <v/>
      </c>
      <c r="K68" t="str">
        <f>IF(F68="","",IFERROR(_xlfn.XLOOKUP(F68,TableLibraryBarriers[Type],TableLibraryBarriers[BlockLinear]),""))</f>
        <v/>
      </c>
      <c r="L68" t="str">
        <f>IF(F68="","",IFERROR(_xlfn.XLOOKUP(F68,TableLibraryBarriers[Type],TableLibraryBarriers[BlockPost]),""))</f>
        <v/>
      </c>
      <c r="M68" t="str">
        <f>IF(F68="","",IFERROR(_xlfn.XLOOKUP(F68,TableLibraryBarriers[Type],TableLibraryBarriers[IFCEntity]),""))</f>
        <v/>
      </c>
      <c r="N68" t="str">
        <f>IF(F68="","",IFERROR(_xlfn.XLOOKUP(F68,TableLibraryBarriers[Type],TableLibraryBarriers[Material]),""))</f>
        <v/>
      </c>
      <c r="O68" t="str">
        <f>IF(F68="","",IFERROR(_xlfn.XLOOKUP(F68,TableLibraryBarriers[Type],TableLibraryBarriers[PostSpacing]),""))</f>
        <v/>
      </c>
      <c r="P68" t="str">
        <f>IF(F68="","",IFERROR(_xlfn.XLOOKUP(F68,TableLibraryBarriers[Type],TableLibraryBarriers[ModuleLength]),""))</f>
        <v/>
      </c>
      <c r="Q68" t="str">
        <f>IF(F68="","",IFERROR(_xlfn.XLOOKUP(F68,TableLibraryBarriers[Type],TableLibraryBarriers[Height]),""))</f>
        <v/>
      </c>
      <c r="R68" t="str">
        <f>IF(F68="","",IFERROR(_xlfn.XLOOKUP(F68,TableLibraryBarriers[Type],TableLibraryBarriers[Width]),""))</f>
        <v/>
      </c>
      <c r="S68" t="str">
        <f>IF(F68="","",IFERROR(_xlfn.XLOOKUP(F68,TableLibraryBarriers[Type],TableLibraryBarriers[ContainmentLevel]),""))</f>
        <v/>
      </c>
      <c r="T68" t="str">
        <f>IF(F68="","",IFERROR(_xlfn.XLOOKUP(F68,TableLibraryBarriers[Type],TableLibraryBarriers[WorkingWidth]),""))</f>
        <v/>
      </c>
      <c r="U68" t="str">
        <f>IF(F68="","",IFERROR(_xlfn.XLOOKUP(F68,TableLibraryBarriers[Type],TableLibraryBarriers[Layer]),""))</f>
        <v/>
      </c>
      <c r="V68" t="str">
        <f>IF(F68="","",IFERROR(_xlfn.XLOOKUP(F68,TableLibraryBarriers[Type],TableLibraryBarriers[TimeUnitLength(h)]),""))</f>
        <v/>
      </c>
      <c r="W68" t="str">
        <f>IF(F68="","",IFERROR(_xlfn.XLOOKUP(F68,TableLibraryBarriers[Type],TableLibraryBarriers[CostUnitLength]),""))</f>
        <v/>
      </c>
      <c r="X68" t="str">
        <f>IF(F68="","",IFERROR(_xlfn.XLOOKUP(F68,TableLibraryBarriers[Type],TableLibraryBarriers[Notes]),""))</f>
        <v/>
      </c>
      <c r="Y68" s="19"/>
      <c r="Z68" s="19"/>
    </row>
    <row r="69" spans="1:26">
      <c r="A69" t="str">
        <f t="shared" si="1"/>
        <v/>
      </c>
      <c r="C69" s="21"/>
      <c r="D69" s="21"/>
      <c r="E69" s="19"/>
      <c r="G69" s="16" t="str">
        <f>IF(BarriersTable[[#This Row],[PKStartValue]]="","",IF(C69="","",INT(C69/1000)&amp;"+"&amp;TEXT(MOD(C69,1000),"000.00")))</f>
        <v/>
      </c>
      <c r="H69" s="16" t="str">
        <f>IF(BarriersTable[[#This Row],[PKEndValue]]="","",IF(D69="","",INT(D69/1000)&amp;"+"&amp;TEXT(MOD(D69,1000),"000.00")))</f>
        <v/>
      </c>
      <c r="I69" t="str">
        <f>IF(F69="","",IFERROR(_xlfn.XLOOKUP(F69,TableLibraryBarriers[Type],TableLibraryBarriers[BarrierFamily]),""))</f>
        <v/>
      </c>
      <c r="J69" t="str">
        <f>IF(F69="","",IFERROR(_xlfn.XLOOKUP(F69,TableLibraryBarriers[Type],TableLibraryBarriers[BarrierType]),""))</f>
        <v/>
      </c>
      <c r="K69" t="str">
        <f>IF(F69="","",IFERROR(_xlfn.XLOOKUP(F69,TableLibraryBarriers[Type],TableLibraryBarriers[BlockLinear]),""))</f>
        <v/>
      </c>
      <c r="L69" t="str">
        <f>IF(F69="","",IFERROR(_xlfn.XLOOKUP(F69,TableLibraryBarriers[Type],TableLibraryBarriers[BlockPost]),""))</f>
        <v/>
      </c>
      <c r="M69" t="str">
        <f>IF(F69="","",IFERROR(_xlfn.XLOOKUP(F69,TableLibraryBarriers[Type],TableLibraryBarriers[IFCEntity]),""))</f>
        <v/>
      </c>
      <c r="N69" t="str">
        <f>IF(F69="","",IFERROR(_xlfn.XLOOKUP(F69,TableLibraryBarriers[Type],TableLibraryBarriers[Material]),""))</f>
        <v/>
      </c>
      <c r="O69" t="str">
        <f>IF(F69="","",IFERROR(_xlfn.XLOOKUP(F69,TableLibraryBarriers[Type],TableLibraryBarriers[PostSpacing]),""))</f>
        <v/>
      </c>
      <c r="P69" t="str">
        <f>IF(F69="","",IFERROR(_xlfn.XLOOKUP(F69,TableLibraryBarriers[Type],TableLibraryBarriers[ModuleLength]),""))</f>
        <v/>
      </c>
      <c r="Q69" t="str">
        <f>IF(F69="","",IFERROR(_xlfn.XLOOKUP(F69,TableLibraryBarriers[Type],TableLibraryBarriers[Height]),""))</f>
        <v/>
      </c>
      <c r="R69" t="str">
        <f>IF(F69="","",IFERROR(_xlfn.XLOOKUP(F69,TableLibraryBarriers[Type],TableLibraryBarriers[Width]),""))</f>
        <v/>
      </c>
      <c r="S69" t="str">
        <f>IF(F69="","",IFERROR(_xlfn.XLOOKUP(F69,TableLibraryBarriers[Type],TableLibraryBarriers[ContainmentLevel]),""))</f>
        <v/>
      </c>
      <c r="T69" t="str">
        <f>IF(F69="","",IFERROR(_xlfn.XLOOKUP(F69,TableLibraryBarriers[Type],TableLibraryBarriers[WorkingWidth]),""))</f>
        <v/>
      </c>
      <c r="U69" t="str">
        <f>IF(F69="","",IFERROR(_xlfn.XLOOKUP(F69,TableLibraryBarriers[Type],TableLibraryBarriers[Layer]),""))</f>
        <v/>
      </c>
      <c r="V69" t="str">
        <f>IF(F69="","",IFERROR(_xlfn.XLOOKUP(F69,TableLibraryBarriers[Type],TableLibraryBarriers[TimeUnitLength(h)]),""))</f>
        <v/>
      </c>
      <c r="W69" t="str">
        <f>IF(F69="","",IFERROR(_xlfn.XLOOKUP(F69,TableLibraryBarriers[Type],TableLibraryBarriers[CostUnitLength]),""))</f>
        <v/>
      </c>
      <c r="X69" t="str">
        <f>IF(F69="","",IFERROR(_xlfn.XLOOKUP(F69,TableLibraryBarriers[Type],TableLibraryBarriers[Notes]),""))</f>
        <v/>
      </c>
      <c r="Y69" s="19"/>
      <c r="Z69" s="19"/>
    </row>
    <row r="70" spans="1:26">
      <c r="A70" t="str">
        <f t="shared" si="1"/>
        <v/>
      </c>
      <c r="C70" s="21"/>
      <c r="D70" s="21"/>
      <c r="E70" s="19"/>
      <c r="G70" s="16" t="str">
        <f>IF(BarriersTable[[#This Row],[PKStartValue]]="","",IF(C70="","",INT(C70/1000)&amp;"+"&amp;TEXT(MOD(C70,1000),"000.00")))</f>
        <v/>
      </c>
      <c r="H70" s="16" t="str">
        <f>IF(BarriersTable[[#This Row],[PKEndValue]]="","",IF(D70="","",INT(D70/1000)&amp;"+"&amp;TEXT(MOD(D70,1000),"000.00")))</f>
        <v/>
      </c>
      <c r="I70" t="str">
        <f>IF(F70="","",IFERROR(_xlfn.XLOOKUP(F70,TableLibraryBarriers[Type],TableLibraryBarriers[BarrierFamily]),""))</f>
        <v/>
      </c>
      <c r="J70" t="str">
        <f>IF(F70="","",IFERROR(_xlfn.XLOOKUP(F70,TableLibraryBarriers[Type],TableLibraryBarriers[BarrierType]),""))</f>
        <v/>
      </c>
      <c r="K70" t="str">
        <f>IF(F70="","",IFERROR(_xlfn.XLOOKUP(F70,TableLibraryBarriers[Type],TableLibraryBarriers[BlockLinear]),""))</f>
        <v/>
      </c>
      <c r="L70" t="str">
        <f>IF(F70="","",IFERROR(_xlfn.XLOOKUP(F70,TableLibraryBarriers[Type],TableLibraryBarriers[BlockPost]),""))</f>
        <v/>
      </c>
      <c r="M70" t="str">
        <f>IF(F70="","",IFERROR(_xlfn.XLOOKUP(F70,TableLibraryBarriers[Type],TableLibraryBarriers[IFCEntity]),""))</f>
        <v/>
      </c>
      <c r="N70" t="str">
        <f>IF(F70="","",IFERROR(_xlfn.XLOOKUP(F70,TableLibraryBarriers[Type],TableLibraryBarriers[Material]),""))</f>
        <v/>
      </c>
      <c r="O70" t="str">
        <f>IF(F70="","",IFERROR(_xlfn.XLOOKUP(F70,TableLibraryBarriers[Type],TableLibraryBarriers[PostSpacing]),""))</f>
        <v/>
      </c>
      <c r="P70" t="str">
        <f>IF(F70="","",IFERROR(_xlfn.XLOOKUP(F70,TableLibraryBarriers[Type],TableLibraryBarriers[ModuleLength]),""))</f>
        <v/>
      </c>
      <c r="Q70" t="str">
        <f>IF(F70="","",IFERROR(_xlfn.XLOOKUP(F70,TableLibraryBarriers[Type],TableLibraryBarriers[Height]),""))</f>
        <v/>
      </c>
      <c r="R70" t="str">
        <f>IF(F70="","",IFERROR(_xlfn.XLOOKUP(F70,TableLibraryBarriers[Type],TableLibraryBarriers[Width]),""))</f>
        <v/>
      </c>
      <c r="S70" t="str">
        <f>IF(F70="","",IFERROR(_xlfn.XLOOKUP(F70,TableLibraryBarriers[Type],TableLibraryBarriers[ContainmentLevel]),""))</f>
        <v/>
      </c>
      <c r="T70" t="str">
        <f>IF(F70="","",IFERROR(_xlfn.XLOOKUP(F70,TableLibraryBarriers[Type],TableLibraryBarriers[WorkingWidth]),""))</f>
        <v/>
      </c>
      <c r="U70" t="str">
        <f>IF(F70="","",IFERROR(_xlfn.XLOOKUP(F70,TableLibraryBarriers[Type],TableLibraryBarriers[Layer]),""))</f>
        <v/>
      </c>
      <c r="V70" t="str">
        <f>IF(F70="","",IFERROR(_xlfn.XLOOKUP(F70,TableLibraryBarriers[Type],TableLibraryBarriers[TimeUnitLength(h)]),""))</f>
        <v/>
      </c>
      <c r="W70" t="str">
        <f>IF(F70="","",IFERROR(_xlfn.XLOOKUP(F70,TableLibraryBarriers[Type],TableLibraryBarriers[CostUnitLength]),""))</f>
        <v/>
      </c>
      <c r="X70" t="str">
        <f>IF(F70="","",IFERROR(_xlfn.XLOOKUP(F70,TableLibraryBarriers[Type],TableLibraryBarriers[Notes]),""))</f>
        <v/>
      </c>
      <c r="Y70" s="19"/>
      <c r="Z70" s="19"/>
    </row>
    <row r="71" spans="1:26">
      <c r="A71" t="str">
        <f t="shared" si="1"/>
        <v/>
      </c>
      <c r="C71" s="21"/>
      <c r="D71" s="21"/>
      <c r="E71" s="19"/>
      <c r="G71" s="16" t="str">
        <f>IF(BarriersTable[[#This Row],[PKStartValue]]="","",IF(C71="","",INT(C71/1000)&amp;"+"&amp;TEXT(MOD(C71,1000),"000.00")))</f>
        <v/>
      </c>
      <c r="H71" s="16" t="str">
        <f>IF(BarriersTable[[#This Row],[PKEndValue]]="","",IF(D71="","",INT(D71/1000)&amp;"+"&amp;TEXT(MOD(D71,1000),"000.00")))</f>
        <v/>
      </c>
      <c r="I71" t="str">
        <f>IF(F71="","",IFERROR(_xlfn.XLOOKUP(F71,TableLibraryBarriers[Type],TableLibraryBarriers[BarrierFamily]),""))</f>
        <v/>
      </c>
      <c r="J71" t="str">
        <f>IF(F71="","",IFERROR(_xlfn.XLOOKUP(F71,TableLibraryBarriers[Type],TableLibraryBarriers[BarrierType]),""))</f>
        <v/>
      </c>
      <c r="K71" t="str">
        <f>IF(F71="","",IFERROR(_xlfn.XLOOKUP(F71,TableLibraryBarriers[Type],TableLibraryBarriers[BlockLinear]),""))</f>
        <v/>
      </c>
      <c r="L71" t="str">
        <f>IF(F71="","",IFERROR(_xlfn.XLOOKUP(F71,TableLibraryBarriers[Type],TableLibraryBarriers[BlockPost]),""))</f>
        <v/>
      </c>
      <c r="M71" t="str">
        <f>IF(F71="","",IFERROR(_xlfn.XLOOKUP(F71,TableLibraryBarriers[Type],TableLibraryBarriers[IFCEntity]),""))</f>
        <v/>
      </c>
      <c r="N71" t="str">
        <f>IF(F71="","",IFERROR(_xlfn.XLOOKUP(F71,TableLibraryBarriers[Type],TableLibraryBarriers[Material]),""))</f>
        <v/>
      </c>
      <c r="O71" t="str">
        <f>IF(F71="","",IFERROR(_xlfn.XLOOKUP(F71,TableLibraryBarriers[Type],TableLibraryBarriers[PostSpacing]),""))</f>
        <v/>
      </c>
      <c r="P71" t="str">
        <f>IF(F71="","",IFERROR(_xlfn.XLOOKUP(F71,TableLibraryBarriers[Type],TableLibraryBarriers[ModuleLength]),""))</f>
        <v/>
      </c>
      <c r="Q71" t="str">
        <f>IF(F71="","",IFERROR(_xlfn.XLOOKUP(F71,TableLibraryBarriers[Type],TableLibraryBarriers[Height]),""))</f>
        <v/>
      </c>
      <c r="R71" t="str">
        <f>IF(F71="","",IFERROR(_xlfn.XLOOKUP(F71,TableLibraryBarriers[Type],TableLibraryBarriers[Width]),""))</f>
        <v/>
      </c>
      <c r="S71" t="str">
        <f>IF(F71="","",IFERROR(_xlfn.XLOOKUP(F71,TableLibraryBarriers[Type],TableLibraryBarriers[ContainmentLevel]),""))</f>
        <v/>
      </c>
      <c r="T71" t="str">
        <f>IF(F71="","",IFERROR(_xlfn.XLOOKUP(F71,TableLibraryBarriers[Type],TableLibraryBarriers[WorkingWidth]),""))</f>
        <v/>
      </c>
      <c r="U71" t="str">
        <f>IF(F71="","",IFERROR(_xlfn.XLOOKUP(F71,TableLibraryBarriers[Type],TableLibraryBarriers[Layer]),""))</f>
        <v/>
      </c>
      <c r="V71" t="str">
        <f>IF(F71="","",IFERROR(_xlfn.XLOOKUP(F71,TableLibraryBarriers[Type],TableLibraryBarriers[TimeUnitLength(h)]),""))</f>
        <v/>
      </c>
      <c r="W71" t="str">
        <f>IF(F71="","",IFERROR(_xlfn.XLOOKUP(F71,TableLibraryBarriers[Type],TableLibraryBarriers[CostUnitLength]),""))</f>
        <v/>
      </c>
      <c r="X71" t="str">
        <f>IF(F71="","",IFERROR(_xlfn.XLOOKUP(F71,TableLibraryBarriers[Type],TableLibraryBarriers[Notes]),""))</f>
        <v/>
      </c>
      <c r="Y71" s="19"/>
      <c r="Z71" s="19"/>
    </row>
    <row r="72" spans="1:26">
      <c r="A72" t="str">
        <f t="shared" si="1"/>
        <v/>
      </c>
      <c r="C72" s="21"/>
      <c r="D72" s="21"/>
      <c r="E72" s="19"/>
      <c r="G72" s="16" t="str">
        <f>IF(BarriersTable[[#This Row],[PKStartValue]]="","",IF(C72="","",INT(C72/1000)&amp;"+"&amp;TEXT(MOD(C72,1000),"000.00")))</f>
        <v/>
      </c>
      <c r="H72" s="16" t="str">
        <f>IF(BarriersTable[[#This Row],[PKEndValue]]="","",IF(D72="","",INT(D72/1000)&amp;"+"&amp;TEXT(MOD(D72,1000),"000.00")))</f>
        <v/>
      </c>
      <c r="I72" t="str">
        <f>IF(F72="","",IFERROR(_xlfn.XLOOKUP(F72,TableLibraryBarriers[Type],TableLibraryBarriers[BarrierFamily]),""))</f>
        <v/>
      </c>
      <c r="J72" t="str">
        <f>IF(F72="","",IFERROR(_xlfn.XLOOKUP(F72,TableLibraryBarriers[Type],TableLibraryBarriers[BarrierType]),""))</f>
        <v/>
      </c>
      <c r="K72" t="str">
        <f>IF(F72="","",IFERROR(_xlfn.XLOOKUP(F72,TableLibraryBarriers[Type],TableLibraryBarriers[BlockLinear]),""))</f>
        <v/>
      </c>
      <c r="L72" t="str">
        <f>IF(F72="","",IFERROR(_xlfn.XLOOKUP(F72,TableLibraryBarriers[Type],TableLibraryBarriers[BlockPost]),""))</f>
        <v/>
      </c>
      <c r="M72" t="str">
        <f>IF(F72="","",IFERROR(_xlfn.XLOOKUP(F72,TableLibraryBarriers[Type],TableLibraryBarriers[IFCEntity]),""))</f>
        <v/>
      </c>
      <c r="N72" t="str">
        <f>IF(F72="","",IFERROR(_xlfn.XLOOKUP(F72,TableLibraryBarriers[Type],TableLibraryBarriers[Material]),""))</f>
        <v/>
      </c>
      <c r="O72" t="str">
        <f>IF(F72="","",IFERROR(_xlfn.XLOOKUP(F72,TableLibraryBarriers[Type],TableLibraryBarriers[PostSpacing]),""))</f>
        <v/>
      </c>
      <c r="P72" t="str">
        <f>IF(F72="","",IFERROR(_xlfn.XLOOKUP(F72,TableLibraryBarriers[Type],TableLibraryBarriers[ModuleLength]),""))</f>
        <v/>
      </c>
      <c r="Q72" t="str">
        <f>IF(F72="","",IFERROR(_xlfn.XLOOKUP(F72,TableLibraryBarriers[Type],TableLibraryBarriers[Height]),""))</f>
        <v/>
      </c>
      <c r="R72" t="str">
        <f>IF(F72="","",IFERROR(_xlfn.XLOOKUP(F72,TableLibraryBarriers[Type],TableLibraryBarriers[Width]),""))</f>
        <v/>
      </c>
      <c r="S72" t="str">
        <f>IF(F72="","",IFERROR(_xlfn.XLOOKUP(F72,TableLibraryBarriers[Type],TableLibraryBarriers[ContainmentLevel]),""))</f>
        <v/>
      </c>
      <c r="T72" t="str">
        <f>IF(F72="","",IFERROR(_xlfn.XLOOKUP(F72,TableLibraryBarriers[Type],TableLibraryBarriers[WorkingWidth]),""))</f>
        <v/>
      </c>
      <c r="U72" t="str">
        <f>IF(F72="","",IFERROR(_xlfn.XLOOKUP(F72,TableLibraryBarriers[Type],TableLibraryBarriers[Layer]),""))</f>
        <v/>
      </c>
      <c r="V72" t="str">
        <f>IF(F72="","",IFERROR(_xlfn.XLOOKUP(F72,TableLibraryBarriers[Type],TableLibraryBarriers[TimeUnitLength(h)]),""))</f>
        <v/>
      </c>
      <c r="W72" t="str">
        <f>IF(F72="","",IFERROR(_xlfn.XLOOKUP(F72,TableLibraryBarriers[Type],TableLibraryBarriers[CostUnitLength]),""))</f>
        <v/>
      </c>
      <c r="X72" t="str">
        <f>IF(F72="","",IFERROR(_xlfn.XLOOKUP(F72,TableLibraryBarriers[Type],TableLibraryBarriers[Notes]),""))</f>
        <v/>
      </c>
      <c r="Y72" s="19"/>
      <c r="Z72" s="19"/>
    </row>
    <row r="73" spans="1:26">
      <c r="A73" t="str">
        <f t="shared" si="1"/>
        <v/>
      </c>
      <c r="C73" s="21"/>
      <c r="D73" s="21"/>
      <c r="E73" s="19"/>
      <c r="G73" s="16" t="str">
        <f>IF(BarriersTable[[#This Row],[PKStartValue]]="","",IF(C73="","",INT(C73/1000)&amp;"+"&amp;TEXT(MOD(C73,1000),"000.00")))</f>
        <v/>
      </c>
      <c r="H73" s="16" t="str">
        <f>IF(BarriersTable[[#This Row],[PKEndValue]]="","",IF(D73="","",INT(D73/1000)&amp;"+"&amp;TEXT(MOD(D73,1000),"000.00")))</f>
        <v/>
      </c>
      <c r="I73" t="str">
        <f>IF(F73="","",IFERROR(_xlfn.XLOOKUP(F73,TableLibraryBarriers[Type],TableLibraryBarriers[BarrierFamily]),""))</f>
        <v/>
      </c>
      <c r="J73" t="str">
        <f>IF(F73="","",IFERROR(_xlfn.XLOOKUP(F73,TableLibraryBarriers[Type],TableLibraryBarriers[BarrierType]),""))</f>
        <v/>
      </c>
      <c r="K73" t="str">
        <f>IF(F73="","",IFERROR(_xlfn.XLOOKUP(F73,TableLibraryBarriers[Type],TableLibraryBarriers[BlockLinear]),""))</f>
        <v/>
      </c>
      <c r="L73" t="str">
        <f>IF(F73="","",IFERROR(_xlfn.XLOOKUP(F73,TableLibraryBarriers[Type],TableLibraryBarriers[BlockPost]),""))</f>
        <v/>
      </c>
      <c r="M73" t="str">
        <f>IF(F73="","",IFERROR(_xlfn.XLOOKUP(F73,TableLibraryBarriers[Type],TableLibraryBarriers[IFCEntity]),""))</f>
        <v/>
      </c>
      <c r="N73" t="str">
        <f>IF(F73="","",IFERROR(_xlfn.XLOOKUP(F73,TableLibraryBarriers[Type],TableLibraryBarriers[Material]),""))</f>
        <v/>
      </c>
      <c r="O73" t="str">
        <f>IF(F73="","",IFERROR(_xlfn.XLOOKUP(F73,TableLibraryBarriers[Type],TableLibraryBarriers[PostSpacing]),""))</f>
        <v/>
      </c>
      <c r="P73" t="str">
        <f>IF(F73="","",IFERROR(_xlfn.XLOOKUP(F73,TableLibraryBarriers[Type],TableLibraryBarriers[ModuleLength]),""))</f>
        <v/>
      </c>
      <c r="Q73" t="str">
        <f>IF(F73="","",IFERROR(_xlfn.XLOOKUP(F73,TableLibraryBarriers[Type],TableLibraryBarriers[Height]),""))</f>
        <v/>
      </c>
      <c r="R73" t="str">
        <f>IF(F73="","",IFERROR(_xlfn.XLOOKUP(F73,TableLibraryBarriers[Type],TableLibraryBarriers[Width]),""))</f>
        <v/>
      </c>
      <c r="S73" t="str">
        <f>IF(F73="","",IFERROR(_xlfn.XLOOKUP(F73,TableLibraryBarriers[Type],TableLibraryBarriers[ContainmentLevel]),""))</f>
        <v/>
      </c>
      <c r="T73" t="str">
        <f>IF(F73="","",IFERROR(_xlfn.XLOOKUP(F73,TableLibraryBarriers[Type],TableLibraryBarriers[WorkingWidth]),""))</f>
        <v/>
      </c>
      <c r="U73" t="str">
        <f>IF(F73="","",IFERROR(_xlfn.XLOOKUP(F73,TableLibraryBarriers[Type],TableLibraryBarriers[Layer]),""))</f>
        <v/>
      </c>
      <c r="V73" t="str">
        <f>IF(F73="","",IFERROR(_xlfn.XLOOKUP(F73,TableLibraryBarriers[Type],TableLibraryBarriers[TimeUnitLength(h)]),""))</f>
        <v/>
      </c>
      <c r="W73" t="str">
        <f>IF(F73="","",IFERROR(_xlfn.XLOOKUP(F73,TableLibraryBarriers[Type],TableLibraryBarriers[CostUnitLength]),""))</f>
        <v/>
      </c>
      <c r="X73" t="str">
        <f>IF(F73="","",IFERROR(_xlfn.XLOOKUP(F73,TableLibraryBarriers[Type],TableLibraryBarriers[Notes]),""))</f>
        <v/>
      </c>
      <c r="Y73" s="19"/>
      <c r="Z73" s="19"/>
    </row>
    <row r="74" spans="1:26">
      <c r="A74" t="str">
        <f t="shared" si="1"/>
        <v/>
      </c>
      <c r="C74" s="21"/>
      <c r="D74" s="21"/>
      <c r="E74" s="19"/>
      <c r="G74" s="16" t="str">
        <f>IF(BarriersTable[[#This Row],[PKStartValue]]="","",IF(C74="","",INT(C74/1000)&amp;"+"&amp;TEXT(MOD(C74,1000),"000.00")))</f>
        <v/>
      </c>
      <c r="H74" s="16" t="str">
        <f>IF(BarriersTable[[#This Row],[PKEndValue]]="","",IF(D74="","",INT(D74/1000)&amp;"+"&amp;TEXT(MOD(D74,1000),"000.00")))</f>
        <v/>
      </c>
      <c r="I74" t="str">
        <f>IF(F74="","",IFERROR(_xlfn.XLOOKUP(F74,TableLibraryBarriers[Type],TableLibraryBarriers[BarrierFamily]),""))</f>
        <v/>
      </c>
      <c r="J74" t="str">
        <f>IF(F74="","",IFERROR(_xlfn.XLOOKUP(F74,TableLibraryBarriers[Type],TableLibraryBarriers[BarrierType]),""))</f>
        <v/>
      </c>
      <c r="K74" t="str">
        <f>IF(F74="","",IFERROR(_xlfn.XLOOKUP(F74,TableLibraryBarriers[Type],TableLibraryBarriers[BlockLinear]),""))</f>
        <v/>
      </c>
      <c r="L74" t="str">
        <f>IF(F74="","",IFERROR(_xlfn.XLOOKUP(F74,TableLibraryBarriers[Type],TableLibraryBarriers[BlockPost]),""))</f>
        <v/>
      </c>
      <c r="M74" t="str">
        <f>IF(F74="","",IFERROR(_xlfn.XLOOKUP(F74,TableLibraryBarriers[Type],TableLibraryBarriers[IFCEntity]),""))</f>
        <v/>
      </c>
      <c r="N74" t="str">
        <f>IF(F74="","",IFERROR(_xlfn.XLOOKUP(F74,TableLibraryBarriers[Type],TableLibraryBarriers[Material]),""))</f>
        <v/>
      </c>
      <c r="O74" t="str">
        <f>IF(F74="","",IFERROR(_xlfn.XLOOKUP(F74,TableLibraryBarriers[Type],TableLibraryBarriers[PostSpacing]),""))</f>
        <v/>
      </c>
      <c r="P74" t="str">
        <f>IF(F74="","",IFERROR(_xlfn.XLOOKUP(F74,TableLibraryBarriers[Type],TableLibraryBarriers[ModuleLength]),""))</f>
        <v/>
      </c>
      <c r="Q74" t="str">
        <f>IF(F74="","",IFERROR(_xlfn.XLOOKUP(F74,TableLibraryBarriers[Type],TableLibraryBarriers[Height]),""))</f>
        <v/>
      </c>
      <c r="R74" t="str">
        <f>IF(F74="","",IFERROR(_xlfn.XLOOKUP(F74,TableLibraryBarriers[Type],TableLibraryBarriers[Width]),""))</f>
        <v/>
      </c>
      <c r="S74" t="str">
        <f>IF(F74="","",IFERROR(_xlfn.XLOOKUP(F74,TableLibraryBarriers[Type],TableLibraryBarriers[ContainmentLevel]),""))</f>
        <v/>
      </c>
      <c r="T74" t="str">
        <f>IF(F74="","",IFERROR(_xlfn.XLOOKUP(F74,TableLibraryBarriers[Type],TableLibraryBarriers[WorkingWidth]),""))</f>
        <v/>
      </c>
      <c r="U74" t="str">
        <f>IF(F74="","",IFERROR(_xlfn.XLOOKUP(F74,TableLibraryBarriers[Type],TableLibraryBarriers[Layer]),""))</f>
        <v/>
      </c>
      <c r="V74" t="str">
        <f>IF(F74="","",IFERROR(_xlfn.XLOOKUP(F74,TableLibraryBarriers[Type],TableLibraryBarriers[TimeUnitLength(h)]),""))</f>
        <v/>
      </c>
      <c r="W74" t="str">
        <f>IF(F74="","",IFERROR(_xlfn.XLOOKUP(F74,TableLibraryBarriers[Type],TableLibraryBarriers[CostUnitLength]),""))</f>
        <v/>
      </c>
      <c r="X74" t="str">
        <f>IF(F74="","",IFERROR(_xlfn.XLOOKUP(F74,TableLibraryBarriers[Type],TableLibraryBarriers[Notes]),""))</f>
        <v/>
      </c>
      <c r="Y74" s="19"/>
      <c r="Z74" s="19"/>
    </row>
    <row r="75" spans="1:26">
      <c r="A75" t="str">
        <f t="shared" si="1"/>
        <v/>
      </c>
      <c r="C75" s="21"/>
      <c r="D75" s="21"/>
      <c r="E75" s="19"/>
      <c r="G75" s="16" t="str">
        <f>IF(BarriersTable[[#This Row],[PKStartValue]]="","",IF(C75="","",INT(C75/1000)&amp;"+"&amp;TEXT(MOD(C75,1000),"000.00")))</f>
        <v/>
      </c>
      <c r="H75" s="16" t="str">
        <f>IF(BarriersTable[[#This Row],[PKEndValue]]="","",IF(D75="","",INT(D75/1000)&amp;"+"&amp;TEXT(MOD(D75,1000),"000.00")))</f>
        <v/>
      </c>
      <c r="I75" t="str">
        <f>IF(F75="","",IFERROR(_xlfn.XLOOKUP(F75,TableLibraryBarriers[Type],TableLibraryBarriers[BarrierFamily]),""))</f>
        <v/>
      </c>
      <c r="J75" t="str">
        <f>IF(F75="","",IFERROR(_xlfn.XLOOKUP(F75,TableLibraryBarriers[Type],TableLibraryBarriers[BarrierType]),""))</f>
        <v/>
      </c>
      <c r="K75" t="str">
        <f>IF(F75="","",IFERROR(_xlfn.XLOOKUP(F75,TableLibraryBarriers[Type],TableLibraryBarriers[BlockLinear]),""))</f>
        <v/>
      </c>
      <c r="L75" t="str">
        <f>IF(F75="","",IFERROR(_xlfn.XLOOKUP(F75,TableLibraryBarriers[Type],TableLibraryBarriers[BlockPost]),""))</f>
        <v/>
      </c>
      <c r="M75" t="str">
        <f>IF(F75="","",IFERROR(_xlfn.XLOOKUP(F75,TableLibraryBarriers[Type],TableLibraryBarriers[IFCEntity]),""))</f>
        <v/>
      </c>
      <c r="N75" t="str">
        <f>IF(F75="","",IFERROR(_xlfn.XLOOKUP(F75,TableLibraryBarriers[Type],TableLibraryBarriers[Material]),""))</f>
        <v/>
      </c>
      <c r="O75" t="str">
        <f>IF(F75="","",IFERROR(_xlfn.XLOOKUP(F75,TableLibraryBarriers[Type],TableLibraryBarriers[PostSpacing]),""))</f>
        <v/>
      </c>
      <c r="P75" t="str">
        <f>IF(F75="","",IFERROR(_xlfn.XLOOKUP(F75,TableLibraryBarriers[Type],TableLibraryBarriers[ModuleLength]),""))</f>
        <v/>
      </c>
      <c r="Q75" t="str">
        <f>IF(F75="","",IFERROR(_xlfn.XLOOKUP(F75,TableLibraryBarriers[Type],TableLibraryBarriers[Height]),""))</f>
        <v/>
      </c>
      <c r="R75" t="str">
        <f>IF(F75="","",IFERROR(_xlfn.XLOOKUP(F75,TableLibraryBarriers[Type],TableLibraryBarriers[Width]),""))</f>
        <v/>
      </c>
      <c r="S75" t="str">
        <f>IF(F75="","",IFERROR(_xlfn.XLOOKUP(F75,TableLibraryBarriers[Type],TableLibraryBarriers[ContainmentLevel]),""))</f>
        <v/>
      </c>
      <c r="T75" t="str">
        <f>IF(F75="","",IFERROR(_xlfn.XLOOKUP(F75,TableLibraryBarriers[Type],TableLibraryBarriers[WorkingWidth]),""))</f>
        <v/>
      </c>
      <c r="U75" t="str">
        <f>IF(F75="","",IFERROR(_xlfn.XLOOKUP(F75,TableLibraryBarriers[Type],TableLibraryBarriers[Layer]),""))</f>
        <v/>
      </c>
      <c r="V75" t="str">
        <f>IF(F75="","",IFERROR(_xlfn.XLOOKUP(F75,TableLibraryBarriers[Type],TableLibraryBarriers[TimeUnitLength(h)]),""))</f>
        <v/>
      </c>
      <c r="W75" t="str">
        <f>IF(F75="","",IFERROR(_xlfn.XLOOKUP(F75,TableLibraryBarriers[Type],TableLibraryBarriers[CostUnitLength]),""))</f>
        <v/>
      </c>
      <c r="X75" t="str">
        <f>IF(F75="","",IFERROR(_xlfn.XLOOKUP(F75,TableLibraryBarriers[Type],TableLibraryBarriers[Notes]),""))</f>
        <v/>
      </c>
      <c r="Y75" s="19"/>
      <c r="Z75" s="19"/>
    </row>
    <row r="76" spans="1:26">
      <c r="A76" t="str">
        <f t="shared" si="1"/>
        <v/>
      </c>
      <c r="C76" s="21"/>
      <c r="D76" s="21"/>
      <c r="E76" s="19"/>
      <c r="G76" s="16" t="str">
        <f>IF(BarriersTable[[#This Row],[PKStartValue]]="","",IF(C76="","",INT(C76/1000)&amp;"+"&amp;TEXT(MOD(C76,1000),"000.00")))</f>
        <v/>
      </c>
      <c r="H76" s="16" t="str">
        <f>IF(BarriersTable[[#This Row],[PKEndValue]]="","",IF(D76="","",INT(D76/1000)&amp;"+"&amp;TEXT(MOD(D76,1000),"000.00")))</f>
        <v/>
      </c>
      <c r="I76" t="str">
        <f>IF(F76="","",IFERROR(_xlfn.XLOOKUP(F76,TableLibraryBarriers[Type],TableLibraryBarriers[BarrierFamily]),""))</f>
        <v/>
      </c>
      <c r="J76" t="str">
        <f>IF(F76="","",IFERROR(_xlfn.XLOOKUP(F76,TableLibraryBarriers[Type],TableLibraryBarriers[BarrierType]),""))</f>
        <v/>
      </c>
      <c r="K76" t="str">
        <f>IF(F76="","",IFERROR(_xlfn.XLOOKUP(F76,TableLibraryBarriers[Type],TableLibraryBarriers[BlockLinear]),""))</f>
        <v/>
      </c>
      <c r="L76" t="str">
        <f>IF(F76="","",IFERROR(_xlfn.XLOOKUP(F76,TableLibraryBarriers[Type],TableLibraryBarriers[BlockPost]),""))</f>
        <v/>
      </c>
      <c r="M76" t="str">
        <f>IF(F76="","",IFERROR(_xlfn.XLOOKUP(F76,TableLibraryBarriers[Type],TableLibraryBarriers[IFCEntity]),""))</f>
        <v/>
      </c>
      <c r="N76" t="str">
        <f>IF(F76="","",IFERROR(_xlfn.XLOOKUP(F76,TableLibraryBarriers[Type],TableLibraryBarriers[Material]),""))</f>
        <v/>
      </c>
      <c r="O76" t="str">
        <f>IF(F76="","",IFERROR(_xlfn.XLOOKUP(F76,TableLibraryBarriers[Type],TableLibraryBarriers[PostSpacing]),""))</f>
        <v/>
      </c>
      <c r="P76" t="str">
        <f>IF(F76="","",IFERROR(_xlfn.XLOOKUP(F76,TableLibraryBarriers[Type],TableLibraryBarriers[ModuleLength]),""))</f>
        <v/>
      </c>
      <c r="Q76" t="str">
        <f>IF(F76="","",IFERROR(_xlfn.XLOOKUP(F76,TableLibraryBarriers[Type],TableLibraryBarriers[Height]),""))</f>
        <v/>
      </c>
      <c r="R76" t="str">
        <f>IF(F76="","",IFERROR(_xlfn.XLOOKUP(F76,TableLibraryBarriers[Type],TableLibraryBarriers[Width]),""))</f>
        <v/>
      </c>
      <c r="S76" t="str">
        <f>IF(F76="","",IFERROR(_xlfn.XLOOKUP(F76,TableLibraryBarriers[Type],TableLibraryBarriers[ContainmentLevel]),""))</f>
        <v/>
      </c>
      <c r="T76" t="str">
        <f>IF(F76="","",IFERROR(_xlfn.XLOOKUP(F76,TableLibraryBarriers[Type],TableLibraryBarriers[WorkingWidth]),""))</f>
        <v/>
      </c>
      <c r="U76" t="str">
        <f>IF(F76="","",IFERROR(_xlfn.XLOOKUP(F76,TableLibraryBarriers[Type],TableLibraryBarriers[Layer]),""))</f>
        <v/>
      </c>
      <c r="V76" t="str">
        <f>IF(F76="","",IFERROR(_xlfn.XLOOKUP(F76,TableLibraryBarriers[Type],TableLibraryBarriers[TimeUnitLength(h)]),""))</f>
        <v/>
      </c>
      <c r="W76" t="str">
        <f>IF(F76="","",IFERROR(_xlfn.XLOOKUP(F76,TableLibraryBarriers[Type],TableLibraryBarriers[CostUnitLength]),""))</f>
        <v/>
      </c>
      <c r="X76" t="str">
        <f>IF(F76="","",IFERROR(_xlfn.XLOOKUP(F76,TableLibraryBarriers[Type],TableLibraryBarriers[Notes]),""))</f>
        <v/>
      </c>
      <c r="Y76" s="19"/>
      <c r="Z76" s="19"/>
    </row>
    <row r="77" spans="1:26">
      <c r="A77" t="str">
        <f t="shared" si="1"/>
        <v/>
      </c>
      <c r="C77" s="21"/>
      <c r="D77" s="21"/>
      <c r="E77" s="19"/>
      <c r="G77" s="16" t="str">
        <f>IF(BarriersTable[[#This Row],[PKStartValue]]="","",IF(C77="","",INT(C77/1000)&amp;"+"&amp;TEXT(MOD(C77,1000),"000.00")))</f>
        <v/>
      </c>
      <c r="H77" s="16" t="str">
        <f>IF(BarriersTable[[#This Row],[PKEndValue]]="","",IF(D77="","",INT(D77/1000)&amp;"+"&amp;TEXT(MOD(D77,1000),"000.00")))</f>
        <v/>
      </c>
      <c r="I77" t="str">
        <f>IF(F77="","",IFERROR(_xlfn.XLOOKUP(F77,TableLibraryBarriers[Type],TableLibraryBarriers[BarrierFamily]),""))</f>
        <v/>
      </c>
      <c r="J77" t="str">
        <f>IF(F77="","",IFERROR(_xlfn.XLOOKUP(F77,TableLibraryBarriers[Type],TableLibraryBarriers[BarrierType]),""))</f>
        <v/>
      </c>
      <c r="K77" t="str">
        <f>IF(F77="","",IFERROR(_xlfn.XLOOKUP(F77,TableLibraryBarriers[Type],TableLibraryBarriers[BlockLinear]),""))</f>
        <v/>
      </c>
      <c r="L77" t="str">
        <f>IF(F77="","",IFERROR(_xlfn.XLOOKUP(F77,TableLibraryBarriers[Type],TableLibraryBarriers[BlockPost]),""))</f>
        <v/>
      </c>
      <c r="M77" t="str">
        <f>IF(F77="","",IFERROR(_xlfn.XLOOKUP(F77,TableLibraryBarriers[Type],TableLibraryBarriers[IFCEntity]),""))</f>
        <v/>
      </c>
      <c r="N77" t="str">
        <f>IF(F77="","",IFERROR(_xlfn.XLOOKUP(F77,TableLibraryBarriers[Type],TableLibraryBarriers[Material]),""))</f>
        <v/>
      </c>
      <c r="O77" t="str">
        <f>IF(F77="","",IFERROR(_xlfn.XLOOKUP(F77,TableLibraryBarriers[Type],TableLibraryBarriers[PostSpacing]),""))</f>
        <v/>
      </c>
      <c r="P77" t="str">
        <f>IF(F77="","",IFERROR(_xlfn.XLOOKUP(F77,TableLibraryBarriers[Type],TableLibraryBarriers[ModuleLength]),""))</f>
        <v/>
      </c>
      <c r="Q77" t="str">
        <f>IF(F77="","",IFERROR(_xlfn.XLOOKUP(F77,TableLibraryBarriers[Type],TableLibraryBarriers[Height]),""))</f>
        <v/>
      </c>
      <c r="R77" t="str">
        <f>IF(F77="","",IFERROR(_xlfn.XLOOKUP(F77,TableLibraryBarriers[Type],TableLibraryBarriers[Width]),""))</f>
        <v/>
      </c>
      <c r="S77" t="str">
        <f>IF(F77="","",IFERROR(_xlfn.XLOOKUP(F77,TableLibraryBarriers[Type],TableLibraryBarriers[ContainmentLevel]),""))</f>
        <v/>
      </c>
      <c r="T77" t="str">
        <f>IF(F77="","",IFERROR(_xlfn.XLOOKUP(F77,TableLibraryBarriers[Type],TableLibraryBarriers[WorkingWidth]),""))</f>
        <v/>
      </c>
      <c r="U77" t="str">
        <f>IF(F77="","",IFERROR(_xlfn.XLOOKUP(F77,TableLibraryBarriers[Type],TableLibraryBarriers[Layer]),""))</f>
        <v/>
      </c>
      <c r="V77" t="str">
        <f>IF(F77="","",IFERROR(_xlfn.XLOOKUP(F77,TableLibraryBarriers[Type],TableLibraryBarriers[TimeUnitLength(h)]),""))</f>
        <v/>
      </c>
      <c r="W77" t="str">
        <f>IF(F77="","",IFERROR(_xlfn.XLOOKUP(F77,TableLibraryBarriers[Type],TableLibraryBarriers[CostUnitLength]),""))</f>
        <v/>
      </c>
      <c r="X77" t="str">
        <f>IF(F77="","",IFERROR(_xlfn.XLOOKUP(F77,TableLibraryBarriers[Type],TableLibraryBarriers[Notes]),""))</f>
        <v/>
      </c>
      <c r="Y77" s="19"/>
      <c r="Z77" s="19"/>
    </row>
    <row r="78" spans="1:26">
      <c r="A78" t="str">
        <f t="shared" si="1"/>
        <v/>
      </c>
      <c r="C78" s="21"/>
      <c r="D78" s="21"/>
      <c r="E78" s="19"/>
      <c r="G78" s="16" t="str">
        <f>IF(BarriersTable[[#This Row],[PKStartValue]]="","",IF(C78="","",INT(C78/1000)&amp;"+"&amp;TEXT(MOD(C78,1000),"000.00")))</f>
        <v/>
      </c>
      <c r="H78" s="16" t="str">
        <f>IF(BarriersTable[[#This Row],[PKEndValue]]="","",IF(D78="","",INT(D78/1000)&amp;"+"&amp;TEXT(MOD(D78,1000),"000.00")))</f>
        <v/>
      </c>
      <c r="I78" t="str">
        <f>IF(F78="","",IFERROR(_xlfn.XLOOKUP(F78,TableLibraryBarriers[Type],TableLibraryBarriers[BarrierFamily]),""))</f>
        <v/>
      </c>
      <c r="J78" t="str">
        <f>IF(F78="","",IFERROR(_xlfn.XLOOKUP(F78,TableLibraryBarriers[Type],TableLibraryBarriers[BarrierType]),""))</f>
        <v/>
      </c>
      <c r="K78" t="str">
        <f>IF(F78="","",IFERROR(_xlfn.XLOOKUP(F78,TableLibraryBarriers[Type],TableLibraryBarriers[BlockLinear]),""))</f>
        <v/>
      </c>
      <c r="L78" t="str">
        <f>IF(F78="","",IFERROR(_xlfn.XLOOKUP(F78,TableLibraryBarriers[Type],TableLibraryBarriers[BlockPost]),""))</f>
        <v/>
      </c>
      <c r="M78" t="str">
        <f>IF(F78="","",IFERROR(_xlfn.XLOOKUP(F78,TableLibraryBarriers[Type],TableLibraryBarriers[IFCEntity]),""))</f>
        <v/>
      </c>
      <c r="N78" t="str">
        <f>IF(F78="","",IFERROR(_xlfn.XLOOKUP(F78,TableLibraryBarriers[Type],TableLibraryBarriers[Material]),""))</f>
        <v/>
      </c>
      <c r="O78" t="str">
        <f>IF(F78="","",IFERROR(_xlfn.XLOOKUP(F78,TableLibraryBarriers[Type],TableLibraryBarriers[PostSpacing]),""))</f>
        <v/>
      </c>
      <c r="P78" t="str">
        <f>IF(F78="","",IFERROR(_xlfn.XLOOKUP(F78,TableLibraryBarriers[Type],TableLibraryBarriers[ModuleLength]),""))</f>
        <v/>
      </c>
      <c r="Q78" t="str">
        <f>IF(F78="","",IFERROR(_xlfn.XLOOKUP(F78,TableLibraryBarriers[Type],TableLibraryBarriers[Height]),""))</f>
        <v/>
      </c>
      <c r="R78" t="str">
        <f>IF(F78="","",IFERROR(_xlfn.XLOOKUP(F78,TableLibraryBarriers[Type],TableLibraryBarriers[Width]),""))</f>
        <v/>
      </c>
      <c r="S78" t="str">
        <f>IF(F78="","",IFERROR(_xlfn.XLOOKUP(F78,TableLibraryBarriers[Type],TableLibraryBarriers[ContainmentLevel]),""))</f>
        <v/>
      </c>
      <c r="T78" t="str">
        <f>IF(F78="","",IFERROR(_xlfn.XLOOKUP(F78,TableLibraryBarriers[Type],TableLibraryBarriers[WorkingWidth]),""))</f>
        <v/>
      </c>
      <c r="U78" t="str">
        <f>IF(F78="","",IFERROR(_xlfn.XLOOKUP(F78,TableLibraryBarriers[Type],TableLibraryBarriers[Layer]),""))</f>
        <v/>
      </c>
      <c r="V78" t="str">
        <f>IF(F78="","",IFERROR(_xlfn.XLOOKUP(F78,TableLibraryBarriers[Type],TableLibraryBarriers[TimeUnitLength(h)]),""))</f>
        <v/>
      </c>
      <c r="W78" t="str">
        <f>IF(F78="","",IFERROR(_xlfn.XLOOKUP(F78,TableLibraryBarriers[Type],TableLibraryBarriers[CostUnitLength]),""))</f>
        <v/>
      </c>
      <c r="X78" t="str">
        <f>IF(F78="","",IFERROR(_xlfn.XLOOKUP(F78,TableLibraryBarriers[Type],TableLibraryBarriers[Notes]),""))</f>
        <v/>
      </c>
      <c r="Y78" s="19"/>
      <c r="Z78" s="19"/>
    </row>
    <row r="79" spans="1:26">
      <c r="A79" t="str">
        <f t="shared" si="1"/>
        <v/>
      </c>
      <c r="C79" s="21"/>
      <c r="D79" s="21"/>
      <c r="E79" s="19"/>
      <c r="G79" s="16" t="str">
        <f>IF(BarriersTable[[#This Row],[PKStartValue]]="","",IF(C79="","",INT(C79/1000)&amp;"+"&amp;TEXT(MOD(C79,1000),"000.00")))</f>
        <v/>
      </c>
      <c r="H79" s="16" t="str">
        <f>IF(BarriersTable[[#This Row],[PKEndValue]]="","",IF(D79="","",INT(D79/1000)&amp;"+"&amp;TEXT(MOD(D79,1000),"000.00")))</f>
        <v/>
      </c>
      <c r="I79" t="str">
        <f>IF(F79="","",IFERROR(_xlfn.XLOOKUP(F79,TableLibraryBarriers[Type],TableLibraryBarriers[BarrierFamily]),""))</f>
        <v/>
      </c>
      <c r="J79" t="str">
        <f>IF(F79="","",IFERROR(_xlfn.XLOOKUP(F79,TableLibraryBarriers[Type],TableLibraryBarriers[BarrierType]),""))</f>
        <v/>
      </c>
      <c r="K79" t="str">
        <f>IF(F79="","",IFERROR(_xlfn.XLOOKUP(F79,TableLibraryBarriers[Type],TableLibraryBarriers[BlockLinear]),""))</f>
        <v/>
      </c>
      <c r="L79" t="str">
        <f>IF(F79="","",IFERROR(_xlfn.XLOOKUP(F79,TableLibraryBarriers[Type],TableLibraryBarriers[BlockPost]),""))</f>
        <v/>
      </c>
      <c r="M79" t="str">
        <f>IF(F79="","",IFERROR(_xlfn.XLOOKUP(F79,TableLibraryBarriers[Type],TableLibraryBarriers[IFCEntity]),""))</f>
        <v/>
      </c>
      <c r="N79" t="str">
        <f>IF(F79="","",IFERROR(_xlfn.XLOOKUP(F79,TableLibraryBarriers[Type],TableLibraryBarriers[Material]),""))</f>
        <v/>
      </c>
      <c r="O79" t="str">
        <f>IF(F79="","",IFERROR(_xlfn.XLOOKUP(F79,TableLibraryBarriers[Type],TableLibraryBarriers[PostSpacing]),""))</f>
        <v/>
      </c>
      <c r="P79" t="str">
        <f>IF(F79="","",IFERROR(_xlfn.XLOOKUP(F79,TableLibraryBarriers[Type],TableLibraryBarriers[ModuleLength]),""))</f>
        <v/>
      </c>
      <c r="Q79" t="str">
        <f>IF(F79="","",IFERROR(_xlfn.XLOOKUP(F79,TableLibraryBarriers[Type],TableLibraryBarriers[Height]),""))</f>
        <v/>
      </c>
      <c r="R79" t="str">
        <f>IF(F79="","",IFERROR(_xlfn.XLOOKUP(F79,TableLibraryBarriers[Type],TableLibraryBarriers[Width]),""))</f>
        <v/>
      </c>
      <c r="S79" t="str">
        <f>IF(F79="","",IFERROR(_xlfn.XLOOKUP(F79,TableLibraryBarriers[Type],TableLibraryBarriers[ContainmentLevel]),""))</f>
        <v/>
      </c>
      <c r="T79" t="str">
        <f>IF(F79="","",IFERROR(_xlfn.XLOOKUP(F79,TableLibraryBarriers[Type],TableLibraryBarriers[WorkingWidth]),""))</f>
        <v/>
      </c>
      <c r="U79" t="str">
        <f>IF(F79="","",IFERROR(_xlfn.XLOOKUP(F79,TableLibraryBarriers[Type],TableLibraryBarriers[Layer]),""))</f>
        <v/>
      </c>
      <c r="V79" t="str">
        <f>IF(F79="","",IFERROR(_xlfn.XLOOKUP(F79,TableLibraryBarriers[Type],TableLibraryBarriers[TimeUnitLength(h)]),""))</f>
        <v/>
      </c>
      <c r="W79" t="str">
        <f>IF(F79="","",IFERROR(_xlfn.XLOOKUP(F79,TableLibraryBarriers[Type],TableLibraryBarriers[CostUnitLength]),""))</f>
        <v/>
      </c>
      <c r="X79" t="str">
        <f>IF(F79="","",IFERROR(_xlfn.XLOOKUP(F79,TableLibraryBarriers[Type],TableLibraryBarriers[Notes]),""))</f>
        <v/>
      </c>
      <c r="Y79" s="19"/>
      <c r="Z79" s="19"/>
    </row>
    <row r="80" spans="1:26">
      <c r="A80" t="str">
        <f t="shared" si="1"/>
        <v/>
      </c>
      <c r="C80" s="21"/>
      <c r="D80" s="21"/>
      <c r="E80" s="19"/>
      <c r="G80" s="16" t="str">
        <f>IF(BarriersTable[[#This Row],[PKStartValue]]="","",IF(C80="","",INT(C80/1000)&amp;"+"&amp;TEXT(MOD(C80,1000),"000.00")))</f>
        <v/>
      </c>
      <c r="H80" s="16" t="str">
        <f>IF(BarriersTable[[#This Row],[PKEndValue]]="","",IF(D80="","",INT(D80/1000)&amp;"+"&amp;TEXT(MOD(D80,1000),"000.00")))</f>
        <v/>
      </c>
      <c r="I80" t="str">
        <f>IF(F80="","",IFERROR(_xlfn.XLOOKUP(F80,TableLibraryBarriers[Type],TableLibraryBarriers[BarrierFamily]),""))</f>
        <v/>
      </c>
      <c r="J80" t="str">
        <f>IF(F80="","",IFERROR(_xlfn.XLOOKUP(F80,TableLibraryBarriers[Type],TableLibraryBarriers[BarrierType]),""))</f>
        <v/>
      </c>
      <c r="K80" t="str">
        <f>IF(F80="","",IFERROR(_xlfn.XLOOKUP(F80,TableLibraryBarriers[Type],TableLibraryBarriers[BlockLinear]),""))</f>
        <v/>
      </c>
      <c r="L80" t="str">
        <f>IF(F80="","",IFERROR(_xlfn.XLOOKUP(F80,TableLibraryBarriers[Type],TableLibraryBarriers[BlockPost]),""))</f>
        <v/>
      </c>
      <c r="M80" t="str">
        <f>IF(F80="","",IFERROR(_xlfn.XLOOKUP(F80,TableLibraryBarriers[Type],TableLibraryBarriers[IFCEntity]),""))</f>
        <v/>
      </c>
      <c r="N80" t="str">
        <f>IF(F80="","",IFERROR(_xlfn.XLOOKUP(F80,TableLibraryBarriers[Type],TableLibraryBarriers[Material]),""))</f>
        <v/>
      </c>
      <c r="O80" t="str">
        <f>IF(F80="","",IFERROR(_xlfn.XLOOKUP(F80,TableLibraryBarriers[Type],TableLibraryBarriers[PostSpacing]),""))</f>
        <v/>
      </c>
      <c r="P80" t="str">
        <f>IF(F80="","",IFERROR(_xlfn.XLOOKUP(F80,TableLibraryBarriers[Type],TableLibraryBarriers[ModuleLength]),""))</f>
        <v/>
      </c>
      <c r="Q80" t="str">
        <f>IF(F80="","",IFERROR(_xlfn.XLOOKUP(F80,TableLibraryBarriers[Type],TableLibraryBarriers[Height]),""))</f>
        <v/>
      </c>
      <c r="R80" t="str">
        <f>IF(F80="","",IFERROR(_xlfn.XLOOKUP(F80,TableLibraryBarriers[Type],TableLibraryBarriers[Width]),""))</f>
        <v/>
      </c>
      <c r="S80" t="str">
        <f>IF(F80="","",IFERROR(_xlfn.XLOOKUP(F80,TableLibraryBarriers[Type],TableLibraryBarriers[ContainmentLevel]),""))</f>
        <v/>
      </c>
      <c r="T80" t="str">
        <f>IF(F80="","",IFERROR(_xlfn.XLOOKUP(F80,TableLibraryBarriers[Type],TableLibraryBarriers[WorkingWidth]),""))</f>
        <v/>
      </c>
      <c r="U80" t="str">
        <f>IF(F80="","",IFERROR(_xlfn.XLOOKUP(F80,TableLibraryBarriers[Type],TableLibraryBarriers[Layer]),""))</f>
        <v/>
      </c>
      <c r="V80" t="str">
        <f>IF(F80="","",IFERROR(_xlfn.XLOOKUP(F80,TableLibraryBarriers[Type],TableLibraryBarriers[TimeUnitLength(h)]),""))</f>
        <v/>
      </c>
      <c r="W80" t="str">
        <f>IF(F80="","",IFERROR(_xlfn.XLOOKUP(F80,TableLibraryBarriers[Type],TableLibraryBarriers[CostUnitLength]),""))</f>
        <v/>
      </c>
      <c r="X80" t="str">
        <f>IF(F80="","",IFERROR(_xlfn.XLOOKUP(F80,TableLibraryBarriers[Type],TableLibraryBarriers[Notes]),""))</f>
        <v/>
      </c>
      <c r="Y80" s="19"/>
      <c r="Z80" s="19"/>
    </row>
    <row r="81" spans="1:26">
      <c r="A81" t="str">
        <f t="shared" si="1"/>
        <v/>
      </c>
      <c r="C81" s="21"/>
      <c r="D81" s="21"/>
      <c r="E81" s="19"/>
      <c r="G81" s="16" t="str">
        <f>IF(BarriersTable[[#This Row],[PKStartValue]]="","",IF(C81="","",INT(C81/1000)&amp;"+"&amp;TEXT(MOD(C81,1000),"000.00")))</f>
        <v/>
      </c>
      <c r="H81" s="16" t="str">
        <f>IF(BarriersTable[[#This Row],[PKEndValue]]="","",IF(D81="","",INT(D81/1000)&amp;"+"&amp;TEXT(MOD(D81,1000),"000.00")))</f>
        <v/>
      </c>
      <c r="I81" t="str">
        <f>IF(F81="","",IFERROR(_xlfn.XLOOKUP(F81,TableLibraryBarriers[Type],TableLibraryBarriers[BarrierFamily]),""))</f>
        <v/>
      </c>
      <c r="J81" t="str">
        <f>IF(F81="","",IFERROR(_xlfn.XLOOKUP(F81,TableLibraryBarriers[Type],TableLibraryBarriers[BarrierType]),""))</f>
        <v/>
      </c>
      <c r="K81" t="str">
        <f>IF(F81="","",IFERROR(_xlfn.XLOOKUP(F81,TableLibraryBarriers[Type],TableLibraryBarriers[BlockLinear]),""))</f>
        <v/>
      </c>
      <c r="L81" t="str">
        <f>IF(F81="","",IFERROR(_xlfn.XLOOKUP(F81,TableLibraryBarriers[Type],TableLibraryBarriers[BlockPost]),""))</f>
        <v/>
      </c>
      <c r="M81" t="str">
        <f>IF(F81="","",IFERROR(_xlfn.XLOOKUP(F81,TableLibraryBarriers[Type],TableLibraryBarriers[IFCEntity]),""))</f>
        <v/>
      </c>
      <c r="N81" t="str">
        <f>IF(F81="","",IFERROR(_xlfn.XLOOKUP(F81,TableLibraryBarriers[Type],TableLibraryBarriers[Material]),""))</f>
        <v/>
      </c>
      <c r="O81" t="str">
        <f>IF(F81="","",IFERROR(_xlfn.XLOOKUP(F81,TableLibraryBarriers[Type],TableLibraryBarriers[PostSpacing]),""))</f>
        <v/>
      </c>
      <c r="P81" t="str">
        <f>IF(F81="","",IFERROR(_xlfn.XLOOKUP(F81,TableLibraryBarriers[Type],TableLibraryBarriers[ModuleLength]),""))</f>
        <v/>
      </c>
      <c r="Q81" t="str">
        <f>IF(F81="","",IFERROR(_xlfn.XLOOKUP(F81,TableLibraryBarriers[Type],TableLibraryBarriers[Height]),""))</f>
        <v/>
      </c>
      <c r="R81" t="str">
        <f>IF(F81="","",IFERROR(_xlfn.XLOOKUP(F81,TableLibraryBarriers[Type],TableLibraryBarriers[Width]),""))</f>
        <v/>
      </c>
      <c r="S81" t="str">
        <f>IF(F81="","",IFERROR(_xlfn.XLOOKUP(F81,TableLibraryBarriers[Type],TableLibraryBarriers[ContainmentLevel]),""))</f>
        <v/>
      </c>
      <c r="T81" t="str">
        <f>IF(F81="","",IFERROR(_xlfn.XLOOKUP(F81,TableLibraryBarriers[Type],TableLibraryBarriers[WorkingWidth]),""))</f>
        <v/>
      </c>
      <c r="U81" t="str">
        <f>IF(F81="","",IFERROR(_xlfn.XLOOKUP(F81,TableLibraryBarriers[Type],TableLibraryBarriers[Layer]),""))</f>
        <v/>
      </c>
      <c r="V81" t="str">
        <f>IF(F81="","",IFERROR(_xlfn.XLOOKUP(F81,TableLibraryBarriers[Type],TableLibraryBarriers[TimeUnitLength(h)]),""))</f>
        <v/>
      </c>
      <c r="W81" t="str">
        <f>IF(F81="","",IFERROR(_xlfn.XLOOKUP(F81,TableLibraryBarriers[Type],TableLibraryBarriers[CostUnitLength]),""))</f>
        <v/>
      </c>
      <c r="X81" t="str">
        <f>IF(F81="","",IFERROR(_xlfn.XLOOKUP(F81,TableLibraryBarriers[Type],TableLibraryBarriers[Notes]),""))</f>
        <v/>
      </c>
      <c r="Y81" s="19"/>
      <c r="Z81" s="19"/>
    </row>
    <row r="82" spans="1:26">
      <c r="A82" t="str">
        <f t="shared" si="1"/>
        <v/>
      </c>
      <c r="C82" s="21"/>
      <c r="D82" s="21"/>
      <c r="E82" s="19"/>
      <c r="G82" s="16" t="str">
        <f>IF(BarriersTable[[#This Row],[PKStartValue]]="","",IF(C82="","",INT(C82/1000)&amp;"+"&amp;TEXT(MOD(C82,1000),"000.00")))</f>
        <v/>
      </c>
      <c r="H82" s="16" t="str">
        <f>IF(BarriersTable[[#This Row],[PKEndValue]]="","",IF(D82="","",INT(D82/1000)&amp;"+"&amp;TEXT(MOD(D82,1000),"000.00")))</f>
        <v/>
      </c>
      <c r="I82" t="str">
        <f>IF(F82="","",IFERROR(_xlfn.XLOOKUP(F82,TableLibraryBarriers[Type],TableLibraryBarriers[BarrierFamily]),""))</f>
        <v/>
      </c>
      <c r="J82" t="str">
        <f>IF(F82="","",IFERROR(_xlfn.XLOOKUP(F82,TableLibraryBarriers[Type],TableLibraryBarriers[BarrierType]),""))</f>
        <v/>
      </c>
      <c r="K82" t="str">
        <f>IF(F82="","",IFERROR(_xlfn.XLOOKUP(F82,TableLibraryBarriers[Type],TableLibraryBarriers[BlockLinear]),""))</f>
        <v/>
      </c>
      <c r="L82" t="str">
        <f>IF(F82="","",IFERROR(_xlfn.XLOOKUP(F82,TableLibraryBarriers[Type],TableLibraryBarriers[BlockPost]),""))</f>
        <v/>
      </c>
      <c r="M82" t="str">
        <f>IF(F82="","",IFERROR(_xlfn.XLOOKUP(F82,TableLibraryBarriers[Type],TableLibraryBarriers[IFCEntity]),""))</f>
        <v/>
      </c>
      <c r="N82" t="str">
        <f>IF(F82="","",IFERROR(_xlfn.XLOOKUP(F82,TableLibraryBarriers[Type],TableLibraryBarriers[Material]),""))</f>
        <v/>
      </c>
      <c r="O82" t="str">
        <f>IF(F82="","",IFERROR(_xlfn.XLOOKUP(F82,TableLibraryBarriers[Type],TableLibraryBarriers[PostSpacing]),""))</f>
        <v/>
      </c>
      <c r="P82" t="str">
        <f>IF(F82="","",IFERROR(_xlfn.XLOOKUP(F82,TableLibraryBarriers[Type],TableLibraryBarriers[ModuleLength]),""))</f>
        <v/>
      </c>
      <c r="Q82" t="str">
        <f>IF(F82="","",IFERROR(_xlfn.XLOOKUP(F82,TableLibraryBarriers[Type],TableLibraryBarriers[Height]),""))</f>
        <v/>
      </c>
      <c r="R82" t="str">
        <f>IF(F82="","",IFERROR(_xlfn.XLOOKUP(F82,TableLibraryBarriers[Type],TableLibraryBarriers[Width]),""))</f>
        <v/>
      </c>
      <c r="S82" t="str">
        <f>IF(F82="","",IFERROR(_xlfn.XLOOKUP(F82,TableLibraryBarriers[Type],TableLibraryBarriers[ContainmentLevel]),""))</f>
        <v/>
      </c>
      <c r="T82" t="str">
        <f>IF(F82="","",IFERROR(_xlfn.XLOOKUP(F82,TableLibraryBarriers[Type],TableLibraryBarriers[WorkingWidth]),""))</f>
        <v/>
      </c>
      <c r="U82" t="str">
        <f>IF(F82="","",IFERROR(_xlfn.XLOOKUP(F82,TableLibraryBarriers[Type],TableLibraryBarriers[Layer]),""))</f>
        <v/>
      </c>
      <c r="V82" t="str">
        <f>IF(F82="","",IFERROR(_xlfn.XLOOKUP(F82,TableLibraryBarriers[Type],TableLibraryBarriers[TimeUnitLength(h)]),""))</f>
        <v/>
      </c>
      <c r="W82" t="str">
        <f>IF(F82="","",IFERROR(_xlfn.XLOOKUP(F82,TableLibraryBarriers[Type],TableLibraryBarriers[CostUnitLength]),""))</f>
        <v/>
      </c>
      <c r="X82" t="str">
        <f>IF(F82="","",IFERROR(_xlfn.XLOOKUP(F82,TableLibraryBarriers[Type],TableLibraryBarriers[Notes]),""))</f>
        <v/>
      </c>
      <c r="Y82" s="19"/>
      <c r="Z82" s="19"/>
    </row>
    <row r="83" spans="1:26">
      <c r="A83" t="str">
        <f t="shared" si="1"/>
        <v/>
      </c>
      <c r="C83" s="21"/>
      <c r="D83" s="21"/>
      <c r="E83" s="19"/>
      <c r="G83" s="16" t="str">
        <f>IF(BarriersTable[[#This Row],[PKStartValue]]="","",IF(C83="","",INT(C83/1000)&amp;"+"&amp;TEXT(MOD(C83,1000),"000.00")))</f>
        <v/>
      </c>
      <c r="H83" s="16" t="str">
        <f>IF(BarriersTable[[#This Row],[PKEndValue]]="","",IF(D83="","",INT(D83/1000)&amp;"+"&amp;TEXT(MOD(D83,1000),"000.00")))</f>
        <v/>
      </c>
      <c r="I83" t="str">
        <f>IF(F83="","",IFERROR(_xlfn.XLOOKUP(F83,TableLibraryBarriers[Type],TableLibraryBarriers[BarrierFamily]),""))</f>
        <v/>
      </c>
      <c r="J83" t="str">
        <f>IF(F83="","",IFERROR(_xlfn.XLOOKUP(F83,TableLibraryBarriers[Type],TableLibraryBarriers[BarrierType]),""))</f>
        <v/>
      </c>
      <c r="K83" t="str">
        <f>IF(F83="","",IFERROR(_xlfn.XLOOKUP(F83,TableLibraryBarriers[Type],TableLibraryBarriers[BlockLinear]),""))</f>
        <v/>
      </c>
      <c r="L83" t="str">
        <f>IF(F83="","",IFERROR(_xlfn.XLOOKUP(F83,TableLibraryBarriers[Type],TableLibraryBarriers[BlockPost]),""))</f>
        <v/>
      </c>
      <c r="M83" t="str">
        <f>IF(F83="","",IFERROR(_xlfn.XLOOKUP(F83,TableLibraryBarriers[Type],TableLibraryBarriers[IFCEntity]),""))</f>
        <v/>
      </c>
      <c r="N83" t="str">
        <f>IF(F83="","",IFERROR(_xlfn.XLOOKUP(F83,TableLibraryBarriers[Type],TableLibraryBarriers[Material]),""))</f>
        <v/>
      </c>
      <c r="O83" t="str">
        <f>IF(F83="","",IFERROR(_xlfn.XLOOKUP(F83,TableLibraryBarriers[Type],TableLibraryBarriers[PostSpacing]),""))</f>
        <v/>
      </c>
      <c r="P83" t="str">
        <f>IF(F83="","",IFERROR(_xlfn.XLOOKUP(F83,TableLibraryBarriers[Type],TableLibraryBarriers[ModuleLength]),""))</f>
        <v/>
      </c>
      <c r="Q83" t="str">
        <f>IF(F83="","",IFERROR(_xlfn.XLOOKUP(F83,TableLibraryBarriers[Type],TableLibraryBarriers[Height]),""))</f>
        <v/>
      </c>
      <c r="R83" t="str">
        <f>IF(F83="","",IFERROR(_xlfn.XLOOKUP(F83,TableLibraryBarriers[Type],TableLibraryBarriers[Width]),""))</f>
        <v/>
      </c>
      <c r="S83" t="str">
        <f>IF(F83="","",IFERROR(_xlfn.XLOOKUP(F83,TableLibraryBarriers[Type],TableLibraryBarriers[ContainmentLevel]),""))</f>
        <v/>
      </c>
      <c r="T83" t="str">
        <f>IF(F83="","",IFERROR(_xlfn.XLOOKUP(F83,TableLibraryBarriers[Type],TableLibraryBarriers[WorkingWidth]),""))</f>
        <v/>
      </c>
      <c r="U83" t="str">
        <f>IF(F83="","",IFERROR(_xlfn.XLOOKUP(F83,TableLibraryBarriers[Type],TableLibraryBarriers[Layer]),""))</f>
        <v/>
      </c>
      <c r="V83" t="str">
        <f>IF(F83="","",IFERROR(_xlfn.XLOOKUP(F83,TableLibraryBarriers[Type],TableLibraryBarriers[TimeUnitLength(h)]),""))</f>
        <v/>
      </c>
      <c r="W83" t="str">
        <f>IF(F83="","",IFERROR(_xlfn.XLOOKUP(F83,TableLibraryBarriers[Type],TableLibraryBarriers[CostUnitLength]),""))</f>
        <v/>
      </c>
      <c r="X83" t="str">
        <f>IF(F83="","",IFERROR(_xlfn.XLOOKUP(F83,TableLibraryBarriers[Type],TableLibraryBarriers[Notes]),""))</f>
        <v/>
      </c>
      <c r="Y83" s="19"/>
      <c r="Z83" s="19"/>
    </row>
    <row r="84" spans="1:26">
      <c r="A84" t="str">
        <f t="shared" si="1"/>
        <v/>
      </c>
      <c r="C84" s="21"/>
      <c r="D84" s="21"/>
      <c r="E84" s="19"/>
      <c r="G84" s="16" t="str">
        <f>IF(BarriersTable[[#This Row],[PKStartValue]]="","",IF(C84="","",INT(C84/1000)&amp;"+"&amp;TEXT(MOD(C84,1000),"000.00")))</f>
        <v/>
      </c>
      <c r="H84" s="16" t="str">
        <f>IF(BarriersTable[[#This Row],[PKEndValue]]="","",IF(D84="","",INT(D84/1000)&amp;"+"&amp;TEXT(MOD(D84,1000),"000.00")))</f>
        <v/>
      </c>
      <c r="I84" t="str">
        <f>IF(F84="","",IFERROR(_xlfn.XLOOKUP(F84,TableLibraryBarriers[Type],TableLibraryBarriers[BarrierFamily]),""))</f>
        <v/>
      </c>
      <c r="J84" t="str">
        <f>IF(F84="","",IFERROR(_xlfn.XLOOKUP(F84,TableLibraryBarriers[Type],TableLibraryBarriers[BarrierType]),""))</f>
        <v/>
      </c>
      <c r="K84" t="str">
        <f>IF(F84="","",IFERROR(_xlfn.XLOOKUP(F84,TableLibraryBarriers[Type],TableLibraryBarriers[BlockLinear]),""))</f>
        <v/>
      </c>
      <c r="L84" t="str">
        <f>IF(F84="","",IFERROR(_xlfn.XLOOKUP(F84,TableLibraryBarriers[Type],TableLibraryBarriers[BlockPost]),""))</f>
        <v/>
      </c>
      <c r="M84" t="str">
        <f>IF(F84="","",IFERROR(_xlfn.XLOOKUP(F84,TableLibraryBarriers[Type],TableLibraryBarriers[IFCEntity]),""))</f>
        <v/>
      </c>
      <c r="N84" t="str">
        <f>IF(F84="","",IFERROR(_xlfn.XLOOKUP(F84,TableLibraryBarriers[Type],TableLibraryBarriers[Material]),""))</f>
        <v/>
      </c>
      <c r="O84" t="str">
        <f>IF(F84="","",IFERROR(_xlfn.XLOOKUP(F84,TableLibraryBarriers[Type],TableLibraryBarriers[PostSpacing]),""))</f>
        <v/>
      </c>
      <c r="P84" t="str">
        <f>IF(F84="","",IFERROR(_xlfn.XLOOKUP(F84,TableLibraryBarriers[Type],TableLibraryBarriers[ModuleLength]),""))</f>
        <v/>
      </c>
      <c r="Q84" t="str">
        <f>IF(F84="","",IFERROR(_xlfn.XLOOKUP(F84,TableLibraryBarriers[Type],TableLibraryBarriers[Height]),""))</f>
        <v/>
      </c>
      <c r="R84" t="str">
        <f>IF(F84="","",IFERROR(_xlfn.XLOOKUP(F84,TableLibraryBarriers[Type],TableLibraryBarriers[Width]),""))</f>
        <v/>
      </c>
      <c r="S84" t="str">
        <f>IF(F84="","",IFERROR(_xlfn.XLOOKUP(F84,TableLibraryBarriers[Type],TableLibraryBarriers[ContainmentLevel]),""))</f>
        <v/>
      </c>
      <c r="T84" t="str">
        <f>IF(F84="","",IFERROR(_xlfn.XLOOKUP(F84,TableLibraryBarriers[Type],TableLibraryBarriers[WorkingWidth]),""))</f>
        <v/>
      </c>
      <c r="U84" t="str">
        <f>IF(F84="","",IFERROR(_xlfn.XLOOKUP(F84,TableLibraryBarriers[Type],TableLibraryBarriers[Layer]),""))</f>
        <v/>
      </c>
      <c r="V84" t="str">
        <f>IF(F84="","",IFERROR(_xlfn.XLOOKUP(F84,TableLibraryBarriers[Type],TableLibraryBarriers[TimeUnitLength(h)]),""))</f>
        <v/>
      </c>
      <c r="W84" t="str">
        <f>IF(F84="","",IFERROR(_xlfn.XLOOKUP(F84,TableLibraryBarriers[Type],TableLibraryBarriers[CostUnitLength]),""))</f>
        <v/>
      </c>
      <c r="X84" t="str">
        <f>IF(F84="","",IFERROR(_xlfn.XLOOKUP(F84,TableLibraryBarriers[Type],TableLibraryBarriers[Notes]),""))</f>
        <v/>
      </c>
      <c r="Y84" s="19"/>
      <c r="Z84" s="19"/>
    </row>
    <row r="85" spans="1:26">
      <c r="A85" t="str">
        <f t="shared" si="1"/>
        <v/>
      </c>
      <c r="C85" s="21"/>
      <c r="D85" s="21"/>
      <c r="E85" s="19"/>
      <c r="G85" s="16" t="str">
        <f>IF(BarriersTable[[#This Row],[PKStartValue]]="","",IF(C85="","",INT(C85/1000)&amp;"+"&amp;TEXT(MOD(C85,1000),"000.00")))</f>
        <v/>
      </c>
      <c r="H85" s="16" t="str">
        <f>IF(BarriersTable[[#This Row],[PKEndValue]]="","",IF(D85="","",INT(D85/1000)&amp;"+"&amp;TEXT(MOD(D85,1000),"000.00")))</f>
        <v/>
      </c>
      <c r="I85" t="str">
        <f>IF(F85="","",IFERROR(_xlfn.XLOOKUP(F85,TableLibraryBarriers[Type],TableLibraryBarriers[BarrierFamily]),""))</f>
        <v/>
      </c>
      <c r="J85" t="str">
        <f>IF(F85="","",IFERROR(_xlfn.XLOOKUP(F85,TableLibraryBarriers[Type],TableLibraryBarriers[BarrierType]),""))</f>
        <v/>
      </c>
      <c r="K85" t="str">
        <f>IF(F85="","",IFERROR(_xlfn.XLOOKUP(F85,TableLibraryBarriers[Type],TableLibraryBarriers[BlockLinear]),""))</f>
        <v/>
      </c>
      <c r="L85" t="str">
        <f>IF(F85="","",IFERROR(_xlfn.XLOOKUP(F85,TableLibraryBarriers[Type],TableLibraryBarriers[BlockPost]),""))</f>
        <v/>
      </c>
      <c r="M85" t="str">
        <f>IF(F85="","",IFERROR(_xlfn.XLOOKUP(F85,TableLibraryBarriers[Type],TableLibraryBarriers[IFCEntity]),""))</f>
        <v/>
      </c>
      <c r="N85" t="str">
        <f>IF(F85="","",IFERROR(_xlfn.XLOOKUP(F85,TableLibraryBarriers[Type],TableLibraryBarriers[Material]),""))</f>
        <v/>
      </c>
      <c r="O85" t="str">
        <f>IF(F85="","",IFERROR(_xlfn.XLOOKUP(F85,TableLibraryBarriers[Type],TableLibraryBarriers[PostSpacing]),""))</f>
        <v/>
      </c>
      <c r="P85" t="str">
        <f>IF(F85="","",IFERROR(_xlfn.XLOOKUP(F85,TableLibraryBarriers[Type],TableLibraryBarriers[ModuleLength]),""))</f>
        <v/>
      </c>
      <c r="Q85" t="str">
        <f>IF(F85="","",IFERROR(_xlfn.XLOOKUP(F85,TableLibraryBarriers[Type],TableLibraryBarriers[Height]),""))</f>
        <v/>
      </c>
      <c r="R85" t="str">
        <f>IF(F85="","",IFERROR(_xlfn.XLOOKUP(F85,TableLibraryBarriers[Type],TableLibraryBarriers[Width]),""))</f>
        <v/>
      </c>
      <c r="S85" t="str">
        <f>IF(F85="","",IFERROR(_xlfn.XLOOKUP(F85,TableLibraryBarriers[Type],TableLibraryBarriers[ContainmentLevel]),""))</f>
        <v/>
      </c>
      <c r="T85" t="str">
        <f>IF(F85="","",IFERROR(_xlfn.XLOOKUP(F85,TableLibraryBarriers[Type],TableLibraryBarriers[WorkingWidth]),""))</f>
        <v/>
      </c>
      <c r="U85" t="str">
        <f>IF(F85="","",IFERROR(_xlfn.XLOOKUP(F85,TableLibraryBarriers[Type],TableLibraryBarriers[Layer]),""))</f>
        <v/>
      </c>
      <c r="V85" t="str">
        <f>IF(F85="","",IFERROR(_xlfn.XLOOKUP(F85,TableLibraryBarriers[Type],TableLibraryBarriers[TimeUnitLength(h)]),""))</f>
        <v/>
      </c>
      <c r="W85" t="str">
        <f>IF(F85="","",IFERROR(_xlfn.XLOOKUP(F85,TableLibraryBarriers[Type],TableLibraryBarriers[CostUnitLength]),""))</f>
        <v/>
      </c>
      <c r="X85" t="str">
        <f>IF(F85="","",IFERROR(_xlfn.XLOOKUP(F85,TableLibraryBarriers[Type],TableLibraryBarriers[Notes]),""))</f>
        <v/>
      </c>
      <c r="Y85" s="19"/>
      <c r="Z85" s="19"/>
    </row>
    <row r="86" spans="1:26">
      <c r="A86" t="str">
        <f t="shared" si="1"/>
        <v/>
      </c>
      <c r="C86" s="21"/>
      <c r="D86" s="21"/>
      <c r="E86" s="19"/>
      <c r="G86" s="16" t="str">
        <f>IF(BarriersTable[[#This Row],[PKStartValue]]="","",IF(C86="","",INT(C86/1000)&amp;"+"&amp;TEXT(MOD(C86,1000),"000.00")))</f>
        <v/>
      </c>
      <c r="H86" s="16" t="str">
        <f>IF(BarriersTable[[#This Row],[PKEndValue]]="","",IF(D86="","",INT(D86/1000)&amp;"+"&amp;TEXT(MOD(D86,1000),"000.00")))</f>
        <v/>
      </c>
      <c r="I86" t="str">
        <f>IF(F86="","",IFERROR(_xlfn.XLOOKUP(F86,TableLibraryBarriers[Type],TableLibraryBarriers[BarrierFamily]),""))</f>
        <v/>
      </c>
      <c r="J86" t="str">
        <f>IF(F86="","",IFERROR(_xlfn.XLOOKUP(F86,TableLibraryBarriers[Type],TableLibraryBarriers[BarrierType]),""))</f>
        <v/>
      </c>
      <c r="K86" t="str">
        <f>IF(F86="","",IFERROR(_xlfn.XLOOKUP(F86,TableLibraryBarriers[Type],TableLibraryBarriers[BlockLinear]),""))</f>
        <v/>
      </c>
      <c r="L86" t="str">
        <f>IF(F86="","",IFERROR(_xlfn.XLOOKUP(F86,TableLibraryBarriers[Type],TableLibraryBarriers[BlockPost]),""))</f>
        <v/>
      </c>
      <c r="M86" t="str">
        <f>IF(F86="","",IFERROR(_xlfn.XLOOKUP(F86,TableLibraryBarriers[Type],TableLibraryBarriers[IFCEntity]),""))</f>
        <v/>
      </c>
      <c r="N86" t="str">
        <f>IF(F86="","",IFERROR(_xlfn.XLOOKUP(F86,TableLibraryBarriers[Type],TableLibraryBarriers[Material]),""))</f>
        <v/>
      </c>
      <c r="O86" t="str">
        <f>IF(F86="","",IFERROR(_xlfn.XLOOKUP(F86,TableLibraryBarriers[Type],TableLibraryBarriers[PostSpacing]),""))</f>
        <v/>
      </c>
      <c r="P86" t="str">
        <f>IF(F86="","",IFERROR(_xlfn.XLOOKUP(F86,TableLibraryBarriers[Type],TableLibraryBarriers[ModuleLength]),""))</f>
        <v/>
      </c>
      <c r="Q86" t="str">
        <f>IF(F86="","",IFERROR(_xlfn.XLOOKUP(F86,TableLibraryBarriers[Type],TableLibraryBarriers[Height]),""))</f>
        <v/>
      </c>
      <c r="R86" t="str">
        <f>IF(F86="","",IFERROR(_xlfn.XLOOKUP(F86,TableLibraryBarriers[Type],TableLibraryBarriers[Width]),""))</f>
        <v/>
      </c>
      <c r="S86" t="str">
        <f>IF(F86="","",IFERROR(_xlfn.XLOOKUP(F86,TableLibraryBarriers[Type],TableLibraryBarriers[ContainmentLevel]),""))</f>
        <v/>
      </c>
      <c r="T86" t="str">
        <f>IF(F86="","",IFERROR(_xlfn.XLOOKUP(F86,TableLibraryBarriers[Type],TableLibraryBarriers[WorkingWidth]),""))</f>
        <v/>
      </c>
      <c r="U86" t="str">
        <f>IF(F86="","",IFERROR(_xlfn.XLOOKUP(F86,TableLibraryBarriers[Type],TableLibraryBarriers[Layer]),""))</f>
        <v/>
      </c>
      <c r="V86" t="str">
        <f>IF(F86="","",IFERROR(_xlfn.XLOOKUP(F86,TableLibraryBarriers[Type],TableLibraryBarriers[TimeUnitLength(h)]),""))</f>
        <v/>
      </c>
      <c r="W86" t="str">
        <f>IF(F86="","",IFERROR(_xlfn.XLOOKUP(F86,TableLibraryBarriers[Type],TableLibraryBarriers[CostUnitLength]),""))</f>
        <v/>
      </c>
      <c r="X86" t="str">
        <f>IF(F86="","",IFERROR(_xlfn.XLOOKUP(F86,TableLibraryBarriers[Type],TableLibraryBarriers[Notes]),""))</f>
        <v/>
      </c>
      <c r="Y86" s="19"/>
      <c r="Z86" s="19"/>
    </row>
    <row r="87" spans="1:26">
      <c r="A87" t="str">
        <f t="shared" si="1"/>
        <v/>
      </c>
      <c r="C87" s="21"/>
      <c r="D87" s="21"/>
      <c r="E87" s="19"/>
      <c r="G87" s="16" t="str">
        <f>IF(BarriersTable[[#This Row],[PKStartValue]]="","",IF(C87="","",INT(C87/1000)&amp;"+"&amp;TEXT(MOD(C87,1000),"000.00")))</f>
        <v/>
      </c>
      <c r="H87" s="16" t="str">
        <f>IF(BarriersTable[[#This Row],[PKEndValue]]="","",IF(D87="","",INT(D87/1000)&amp;"+"&amp;TEXT(MOD(D87,1000),"000.00")))</f>
        <v/>
      </c>
      <c r="I87" t="str">
        <f>IF(F87="","",IFERROR(_xlfn.XLOOKUP(F87,TableLibraryBarriers[Type],TableLibraryBarriers[BarrierFamily]),""))</f>
        <v/>
      </c>
      <c r="J87" t="str">
        <f>IF(F87="","",IFERROR(_xlfn.XLOOKUP(F87,TableLibraryBarriers[Type],TableLibraryBarriers[BarrierType]),""))</f>
        <v/>
      </c>
      <c r="K87" t="str">
        <f>IF(F87="","",IFERROR(_xlfn.XLOOKUP(F87,TableLibraryBarriers[Type],TableLibraryBarriers[BlockLinear]),""))</f>
        <v/>
      </c>
      <c r="L87" t="str">
        <f>IF(F87="","",IFERROR(_xlfn.XLOOKUP(F87,TableLibraryBarriers[Type],TableLibraryBarriers[BlockPost]),""))</f>
        <v/>
      </c>
      <c r="M87" t="str">
        <f>IF(F87="","",IFERROR(_xlfn.XLOOKUP(F87,TableLibraryBarriers[Type],TableLibraryBarriers[IFCEntity]),""))</f>
        <v/>
      </c>
      <c r="N87" t="str">
        <f>IF(F87="","",IFERROR(_xlfn.XLOOKUP(F87,TableLibraryBarriers[Type],TableLibraryBarriers[Material]),""))</f>
        <v/>
      </c>
      <c r="O87" t="str">
        <f>IF(F87="","",IFERROR(_xlfn.XLOOKUP(F87,TableLibraryBarriers[Type],TableLibraryBarriers[PostSpacing]),""))</f>
        <v/>
      </c>
      <c r="P87" t="str">
        <f>IF(F87="","",IFERROR(_xlfn.XLOOKUP(F87,TableLibraryBarriers[Type],TableLibraryBarriers[ModuleLength]),""))</f>
        <v/>
      </c>
      <c r="Q87" t="str">
        <f>IF(F87="","",IFERROR(_xlfn.XLOOKUP(F87,TableLibraryBarriers[Type],TableLibraryBarriers[Height]),""))</f>
        <v/>
      </c>
      <c r="R87" t="str">
        <f>IF(F87="","",IFERROR(_xlfn.XLOOKUP(F87,TableLibraryBarriers[Type],TableLibraryBarriers[Width]),""))</f>
        <v/>
      </c>
      <c r="S87" t="str">
        <f>IF(F87="","",IFERROR(_xlfn.XLOOKUP(F87,TableLibraryBarriers[Type],TableLibraryBarriers[ContainmentLevel]),""))</f>
        <v/>
      </c>
      <c r="T87" t="str">
        <f>IF(F87="","",IFERROR(_xlfn.XLOOKUP(F87,TableLibraryBarriers[Type],TableLibraryBarriers[WorkingWidth]),""))</f>
        <v/>
      </c>
      <c r="U87" t="str">
        <f>IF(F87="","",IFERROR(_xlfn.XLOOKUP(F87,TableLibraryBarriers[Type],TableLibraryBarriers[Layer]),""))</f>
        <v/>
      </c>
      <c r="V87" t="str">
        <f>IF(F87="","",IFERROR(_xlfn.XLOOKUP(F87,TableLibraryBarriers[Type],TableLibraryBarriers[TimeUnitLength(h)]),""))</f>
        <v/>
      </c>
      <c r="W87" t="str">
        <f>IF(F87="","",IFERROR(_xlfn.XLOOKUP(F87,TableLibraryBarriers[Type],TableLibraryBarriers[CostUnitLength]),""))</f>
        <v/>
      </c>
      <c r="X87" t="str">
        <f>IF(F87="","",IFERROR(_xlfn.XLOOKUP(F87,TableLibraryBarriers[Type],TableLibraryBarriers[Notes]),""))</f>
        <v/>
      </c>
      <c r="Y87" s="19"/>
      <c r="Z87" s="19"/>
    </row>
    <row r="88" spans="1:26">
      <c r="A88" t="str">
        <f t="shared" si="1"/>
        <v/>
      </c>
      <c r="C88" s="21"/>
      <c r="D88" s="21"/>
      <c r="E88" s="19"/>
      <c r="G88" s="16" t="str">
        <f>IF(BarriersTable[[#This Row],[PKStartValue]]="","",IF(C88="","",INT(C88/1000)&amp;"+"&amp;TEXT(MOD(C88,1000),"000.00")))</f>
        <v/>
      </c>
      <c r="H88" s="16" t="str">
        <f>IF(BarriersTable[[#This Row],[PKEndValue]]="","",IF(D88="","",INT(D88/1000)&amp;"+"&amp;TEXT(MOD(D88,1000),"000.00")))</f>
        <v/>
      </c>
      <c r="I88" t="str">
        <f>IF(F88="","",IFERROR(_xlfn.XLOOKUP(F88,TableLibraryBarriers[Type],TableLibraryBarriers[BarrierFamily]),""))</f>
        <v/>
      </c>
      <c r="J88" t="str">
        <f>IF(F88="","",IFERROR(_xlfn.XLOOKUP(F88,TableLibraryBarriers[Type],TableLibraryBarriers[BarrierType]),""))</f>
        <v/>
      </c>
      <c r="K88" t="str">
        <f>IF(F88="","",IFERROR(_xlfn.XLOOKUP(F88,TableLibraryBarriers[Type],TableLibraryBarriers[BlockLinear]),""))</f>
        <v/>
      </c>
      <c r="L88" t="str">
        <f>IF(F88="","",IFERROR(_xlfn.XLOOKUP(F88,TableLibraryBarriers[Type],TableLibraryBarriers[BlockPost]),""))</f>
        <v/>
      </c>
      <c r="M88" t="str">
        <f>IF(F88="","",IFERROR(_xlfn.XLOOKUP(F88,TableLibraryBarriers[Type],TableLibraryBarriers[IFCEntity]),""))</f>
        <v/>
      </c>
      <c r="N88" t="str">
        <f>IF(F88="","",IFERROR(_xlfn.XLOOKUP(F88,TableLibraryBarriers[Type],TableLibraryBarriers[Material]),""))</f>
        <v/>
      </c>
      <c r="O88" t="str">
        <f>IF(F88="","",IFERROR(_xlfn.XLOOKUP(F88,TableLibraryBarriers[Type],TableLibraryBarriers[PostSpacing]),""))</f>
        <v/>
      </c>
      <c r="P88" t="str">
        <f>IF(F88="","",IFERROR(_xlfn.XLOOKUP(F88,TableLibraryBarriers[Type],TableLibraryBarriers[ModuleLength]),""))</f>
        <v/>
      </c>
      <c r="Q88" t="str">
        <f>IF(F88="","",IFERROR(_xlfn.XLOOKUP(F88,TableLibraryBarriers[Type],TableLibraryBarriers[Height]),""))</f>
        <v/>
      </c>
      <c r="R88" t="str">
        <f>IF(F88="","",IFERROR(_xlfn.XLOOKUP(F88,TableLibraryBarriers[Type],TableLibraryBarriers[Width]),""))</f>
        <v/>
      </c>
      <c r="S88" t="str">
        <f>IF(F88="","",IFERROR(_xlfn.XLOOKUP(F88,TableLibraryBarriers[Type],TableLibraryBarriers[ContainmentLevel]),""))</f>
        <v/>
      </c>
      <c r="T88" t="str">
        <f>IF(F88="","",IFERROR(_xlfn.XLOOKUP(F88,TableLibraryBarriers[Type],TableLibraryBarriers[WorkingWidth]),""))</f>
        <v/>
      </c>
      <c r="U88" t="str">
        <f>IF(F88="","",IFERROR(_xlfn.XLOOKUP(F88,TableLibraryBarriers[Type],TableLibraryBarriers[Layer]),""))</f>
        <v/>
      </c>
      <c r="V88" t="str">
        <f>IF(F88="","",IFERROR(_xlfn.XLOOKUP(F88,TableLibraryBarriers[Type],TableLibraryBarriers[TimeUnitLength(h)]),""))</f>
        <v/>
      </c>
      <c r="W88" t="str">
        <f>IF(F88="","",IFERROR(_xlfn.XLOOKUP(F88,TableLibraryBarriers[Type],TableLibraryBarriers[CostUnitLength]),""))</f>
        <v/>
      </c>
      <c r="X88" t="str">
        <f>IF(F88="","",IFERROR(_xlfn.XLOOKUP(F88,TableLibraryBarriers[Type],TableLibraryBarriers[Notes]),""))</f>
        <v/>
      </c>
      <c r="Y88" s="19"/>
      <c r="Z88" s="19"/>
    </row>
    <row r="89" spans="1:26">
      <c r="A89" t="str">
        <f t="shared" si="1"/>
        <v/>
      </c>
      <c r="C89" s="21"/>
      <c r="D89" s="21"/>
      <c r="E89" s="19"/>
      <c r="G89" s="16" t="str">
        <f>IF(BarriersTable[[#This Row],[PKStartValue]]="","",IF(C89="","",INT(C89/1000)&amp;"+"&amp;TEXT(MOD(C89,1000),"000.00")))</f>
        <v/>
      </c>
      <c r="H89" s="16" t="str">
        <f>IF(BarriersTable[[#This Row],[PKEndValue]]="","",IF(D89="","",INT(D89/1000)&amp;"+"&amp;TEXT(MOD(D89,1000),"000.00")))</f>
        <v/>
      </c>
      <c r="I89" t="str">
        <f>IF(F89="","",IFERROR(_xlfn.XLOOKUP(F89,TableLibraryBarriers[Type],TableLibraryBarriers[BarrierFamily]),""))</f>
        <v/>
      </c>
      <c r="J89" t="str">
        <f>IF(F89="","",IFERROR(_xlfn.XLOOKUP(F89,TableLibraryBarriers[Type],TableLibraryBarriers[BarrierType]),""))</f>
        <v/>
      </c>
      <c r="K89" t="str">
        <f>IF(F89="","",IFERROR(_xlfn.XLOOKUP(F89,TableLibraryBarriers[Type],TableLibraryBarriers[BlockLinear]),""))</f>
        <v/>
      </c>
      <c r="L89" t="str">
        <f>IF(F89="","",IFERROR(_xlfn.XLOOKUP(F89,TableLibraryBarriers[Type],TableLibraryBarriers[BlockPost]),""))</f>
        <v/>
      </c>
      <c r="M89" t="str">
        <f>IF(F89="","",IFERROR(_xlfn.XLOOKUP(F89,TableLibraryBarriers[Type],TableLibraryBarriers[IFCEntity]),""))</f>
        <v/>
      </c>
      <c r="N89" t="str">
        <f>IF(F89="","",IFERROR(_xlfn.XLOOKUP(F89,TableLibraryBarriers[Type],TableLibraryBarriers[Material]),""))</f>
        <v/>
      </c>
      <c r="O89" t="str">
        <f>IF(F89="","",IFERROR(_xlfn.XLOOKUP(F89,TableLibraryBarriers[Type],TableLibraryBarriers[PostSpacing]),""))</f>
        <v/>
      </c>
      <c r="P89" t="str">
        <f>IF(F89="","",IFERROR(_xlfn.XLOOKUP(F89,TableLibraryBarriers[Type],TableLibraryBarriers[ModuleLength]),""))</f>
        <v/>
      </c>
      <c r="Q89" t="str">
        <f>IF(F89="","",IFERROR(_xlfn.XLOOKUP(F89,TableLibraryBarriers[Type],TableLibraryBarriers[Height]),""))</f>
        <v/>
      </c>
      <c r="R89" t="str">
        <f>IF(F89="","",IFERROR(_xlfn.XLOOKUP(F89,TableLibraryBarriers[Type],TableLibraryBarriers[Width]),""))</f>
        <v/>
      </c>
      <c r="S89" t="str">
        <f>IF(F89="","",IFERROR(_xlfn.XLOOKUP(F89,TableLibraryBarriers[Type],TableLibraryBarriers[ContainmentLevel]),""))</f>
        <v/>
      </c>
      <c r="T89" t="str">
        <f>IF(F89="","",IFERROR(_xlfn.XLOOKUP(F89,TableLibraryBarriers[Type],TableLibraryBarriers[WorkingWidth]),""))</f>
        <v/>
      </c>
      <c r="U89" t="str">
        <f>IF(F89="","",IFERROR(_xlfn.XLOOKUP(F89,TableLibraryBarriers[Type],TableLibraryBarriers[Layer]),""))</f>
        <v/>
      </c>
      <c r="V89" t="str">
        <f>IF(F89="","",IFERROR(_xlfn.XLOOKUP(F89,TableLibraryBarriers[Type],TableLibraryBarriers[TimeUnitLength(h)]),""))</f>
        <v/>
      </c>
      <c r="W89" t="str">
        <f>IF(F89="","",IFERROR(_xlfn.XLOOKUP(F89,TableLibraryBarriers[Type],TableLibraryBarriers[CostUnitLength]),""))</f>
        <v/>
      </c>
      <c r="X89" t="str">
        <f>IF(F89="","",IFERROR(_xlfn.XLOOKUP(F89,TableLibraryBarriers[Type],TableLibraryBarriers[Notes]),""))</f>
        <v/>
      </c>
      <c r="Y89" s="19"/>
      <c r="Z89" s="19"/>
    </row>
    <row r="90" spans="1:26">
      <c r="A90" t="str">
        <f t="shared" si="1"/>
        <v/>
      </c>
      <c r="C90" s="21"/>
      <c r="D90" s="21"/>
      <c r="E90" s="19"/>
      <c r="G90" s="16" t="str">
        <f>IF(BarriersTable[[#This Row],[PKStartValue]]="","",IF(C90="","",INT(C90/1000)&amp;"+"&amp;TEXT(MOD(C90,1000),"000.00")))</f>
        <v/>
      </c>
      <c r="H90" s="16" t="str">
        <f>IF(BarriersTable[[#This Row],[PKEndValue]]="","",IF(D90="","",INT(D90/1000)&amp;"+"&amp;TEXT(MOD(D90,1000),"000.00")))</f>
        <v/>
      </c>
      <c r="I90" t="str">
        <f>IF(F90="","",IFERROR(_xlfn.XLOOKUP(F90,TableLibraryBarriers[Type],TableLibraryBarriers[BarrierFamily]),""))</f>
        <v/>
      </c>
      <c r="J90" t="str">
        <f>IF(F90="","",IFERROR(_xlfn.XLOOKUP(F90,TableLibraryBarriers[Type],TableLibraryBarriers[BarrierType]),""))</f>
        <v/>
      </c>
      <c r="K90" t="str">
        <f>IF(F90="","",IFERROR(_xlfn.XLOOKUP(F90,TableLibraryBarriers[Type],TableLibraryBarriers[BlockLinear]),""))</f>
        <v/>
      </c>
      <c r="L90" t="str">
        <f>IF(F90="","",IFERROR(_xlfn.XLOOKUP(F90,TableLibraryBarriers[Type],TableLibraryBarriers[BlockPost]),""))</f>
        <v/>
      </c>
      <c r="M90" t="str">
        <f>IF(F90="","",IFERROR(_xlfn.XLOOKUP(F90,TableLibraryBarriers[Type],TableLibraryBarriers[IFCEntity]),""))</f>
        <v/>
      </c>
      <c r="N90" t="str">
        <f>IF(F90="","",IFERROR(_xlfn.XLOOKUP(F90,TableLibraryBarriers[Type],TableLibraryBarriers[Material]),""))</f>
        <v/>
      </c>
      <c r="O90" t="str">
        <f>IF(F90="","",IFERROR(_xlfn.XLOOKUP(F90,TableLibraryBarriers[Type],TableLibraryBarriers[PostSpacing]),""))</f>
        <v/>
      </c>
      <c r="P90" t="str">
        <f>IF(F90="","",IFERROR(_xlfn.XLOOKUP(F90,TableLibraryBarriers[Type],TableLibraryBarriers[ModuleLength]),""))</f>
        <v/>
      </c>
      <c r="Q90" t="str">
        <f>IF(F90="","",IFERROR(_xlfn.XLOOKUP(F90,TableLibraryBarriers[Type],TableLibraryBarriers[Height]),""))</f>
        <v/>
      </c>
      <c r="R90" t="str">
        <f>IF(F90="","",IFERROR(_xlfn.XLOOKUP(F90,TableLibraryBarriers[Type],TableLibraryBarriers[Width]),""))</f>
        <v/>
      </c>
      <c r="S90" t="str">
        <f>IF(F90="","",IFERROR(_xlfn.XLOOKUP(F90,TableLibraryBarriers[Type],TableLibraryBarriers[ContainmentLevel]),""))</f>
        <v/>
      </c>
      <c r="T90" t="str">
        <f>IF(F90="","",IFERROR(_xlfn.XLOOKUP(F90,TableLibraryBarriers[Type],TableLibraryBarriers[WorkingWidth]),""))</f>
        <v/>
      </c>
      <c r="U90" t="str">
        <f>IF(F90="","",IFERROR(_xlfn.XLOOKUP(F90,TableLibraryBarriers[Type],TableLibraryBarriers[Layer]),""))</f>
        <v/>
      </c>
      <c r="V90" t="str">
        <f>IF(F90="","",IFERROR(_xlfn.XLOOKUP(F90,TableLibraryBarriers[Type],TableLibraryBarriers[TimeUnitLength(h)]),""))</f>
        <v/>
      </c>
      <c r="W90" t="str">
        <f>IF(F90="","",IFERROR(_xlfn.XLOOKUP(F90,TableLibraryBarriers[Type],TableLibraryBarriers[CostUnitLength]),""))</f>
        <v/>
      </c>
      <c r="X90" t="str">
        <f>IF(F90="","",IFERROR(_xlfn.XLOOKUP(F90,TableLibraryBarriers[Type],TableLibraryBarriers[Notes]),""))</f>
        <v/>
      </c>
      <c r="Y90" s="19"/>
      <c r="Z90" s="19"/>
    </row>
    <row r="91" spans="1:26">
      <c r="A91" t="str">
        <f t="shared" si="1"/>
        <v/>
      </c>
      <c r="C91" s="21"/>
      <c r="D91" s="21"/>
      <c r="E91" s="19"/>
      <c r="G91" s="16" t="str">
        <f>IF(BarriersTable[[#This Row],[PKStartValue]]="","",IF(C91="","",INT(C91/1000)&amp;"+"&amp;TEXT(MOD(C91,1000),"000.00")))</f>
        <v/>
      </c>
      <c r="H91" s="16" t="str">
        <f>IF(BarriersTable[[#This Row],[PKEndValue]]="","",IF(D91="","",INT(D91/1000)&amp;"+"&amp;TEXT(MOD(D91,1000),"000.00")))</f>
        <v/>
      </c>
      <c r="I91" t="str">
        <f>IF(F91="","",IFERROR(_xlfn.XLOOKUP(F91,TableLibraryBarriers[Type],TableLibraryBarriers[BarrierFamily]),""))</f>
        <v/>
      </c>
      <c r="J91" t="str">
        <f>IF(F91="","",IFERROR(_xlfn.XLOOKUP(F91,TableLibraryBarriers[Type],TableLibraryBarriers[BarrierType]),""))</f>
        <v/>
      </c>
      <c r="K91" t="str">
        <f>IF(F91="","",IFERROR(_xlfn.XLOOKUP(F91,TableLibraryBarriers[Type],TableLibraryBarriers[BlockLinear]),""))</f>
        <v/>
      </c>
      <c r="L91" t="str">
        <f>IF(F91="","",IFERROR(_xlfn.XLOOKUP(F91,TableLibraryBarriers[Type],TableLibraryBarriers[BlockPost]),""))</f>
        <v/>
      </c>
      <c r="M91" t="str">
        <f>IF(F91="","",IFERROR(_xlfn.XLOOKUP(F91,TableLibraryBarriers[Type],TableLibraryBarriers[IFCEntity]),""))</f>
        <v/>
      </c>
      <c r="N91" t="str">
        <f>IF(F91="","",IFERROR(_xlfn.XLOOKUP(F91,TableLibraryBarriers[Type],TableLibraryBarriers[Material]),""))</f>
        <v/>
      </c>
      <c r="O91" t="str">
        <f>IF(F91="","",IFERROR(_xlfn.XLOOKUP(F91,TableLibraryBarriers[Type],TableLibraryBarriers[PostSpacing]),""))</f>
        <v/>
      </c>
      <c r="P91" t="str">
        <f>IF(F91="","",IFERROR(_xlfn.XLOOKUP(F91,TableLibraryBarriers[Type],TableLibraryBarriers[ModuleLength]),""))</f>
        <v/>
      </c>
      <c r="Q91" t="str">
        <f>IF(F91="","",IFERROR(_xlfn.XLOOKUP(F91,TableLibraryBarriers[Type],TableLibraryBarriers[Height]),""))</f>
        <v/>
      </c>
      <c r="R91" t="str">
        <f>IF(F91="","",IFERROR(_xlfn.XLOOKUP(F91,TableLibraryBarriers[Type],TableLibraryBarriers[Width]),""))</f>
        <v/>
      </c>
      <c r="S91" t="str">
        <f>IF(F91="","",IFERROR(_xlfn.XLOOKUP(F91,TableLibraryBarriers[Type],TableLibraryBarriers[ContainmentLevel]),""))</f>
        <v/>
      </c>
      <c r="T91" t="str">
        <f>IF(F91="","",IFERROR(_xlfn.XLOOKUP(F91,TableLibraryBarriers[Type],TableLibraryBarriers[WorkingWidth]),""))</f>
        <v/>
      </c>
      <c r="U91" t="str">
        <f>IF(F91="","",IFERROR(_xlfn.XLOOKUP(F91,TableLibraryBarriers[Type],TableLibraryBarriers[Layer]),""))</f>
        <v/>
      </c>
      <c r="V91" t="str">
        <f>IF(F91="","",IFERROR(_xlfn.XLOOKUP(F91,TableLibraryBarriers[Type],TableLibraryBarriers[TimeUnitLength(h)]),""))</f>
        <v/>
      </c>
      <c r="W91" t="str">
        <f>IF(F91="","",IFERROR(_xlfn.XLOOKUP(F91,TableLibraryBarriers[Type],TableLibraryBarriers[CostUnitLength]),""))</f>
        <v/>
      </c>
      <c r="X91" t="str">
        <f>IF(F91="","",IFERROR(_xlfn.XLOOKUP(F91,TableLibraryBarriers[Type],TableLibraryBarriers[Notes]),""))</f>
        <v/>
      </c>
      <c r="Y91" s="19"/>
      <c r="Z91" s="19"/>
    </row>
    <row r="92" spans="1:26">
      <c r="A92" t="str">
        <f t="shared" si="1"/>
        <v/>
      </c>
      <c r="C92" s="21"/>
      <c r="D92" s="21"/>
      <c r="E92" s="19"/>
      <c r="G92" s="16" t="str">
        <f>IF(BarriersTable[[#This Row],[PKStartValue]]="","",IF(C92="","",INT(C92/1000)&amp;"+"&amp;TEXT(MOD(C92,1000),"000.00")))</f>
        <v/>
      </c>
      <c r="H92" s="16" t="str">
        <f>IF(BarriersTable[[#This Row],[PKEndValue]]="","",IF(D92="","",INT(D92/1000)&amp;"+"&amp;TEXT(MOD(D92,1000),"000.00")))</f>
        <v/>
      </c>
      <c r="I92" t="str">
        <f>IF(F92="","",IFERROR(_xlfn.XLOOKUP(F92,TableLibraryBarriers[Type],TableLibraryBarriers[BarrierFamily]),""))</f>
        <v/>
      </c>
      <c r="J92" t="str">
        <f>IF(F92="","",IFERROR(_xlfn.XLOOKUP(F92,TableLibraryBarriers[Type],TableLibraryBarriers[BarrierType]),""))</f>
        <v/>
      </c>
      <c r="K92" t="str">
        <f>IF(F92="","",IFERROR(_xlfn.XLOOKUP(F92,TableLibraryBarriers[Type],TableLibraryBarriers[BlockLinear]),""))</f>
        <v/>
      </c>
      <c r="L92" t="str">
        <f>IF(F92="","",IFERROR(_xlfn.XLOOKUP(F92,TableLibraryBarriers[Type],TableLibraryBarriers[BlockPost]),""))</f>
        <v/>
      </c>
      <c r="M92" t="str">
        <f>IF(F92="","",IFERROR(_xlfn.XLOOKUP(F92,TableLibraryBarriers[Type],TableLibraryBarriers[IFCEntity]),""))</f>
        <v/>
      </c>
      <c r="N92" t="str">
        <f>IF(F92="","",IFERROR(_xlfn.XLOOKUP(F92,TableLibraryBarriers[Type],TableLibraryBarriers[Material]),""))</f>
        <v/>
      </c>
      <c r="O92" t="str">
        <f>IF(F92="","",IFERROR(_xlfn.XLOOKUP(F92,TableLibraryBarriers[Type],TableLibraryBarriers[PostSpacing]),""))</f>
        <v/>
      </c>
      <c r="P92" t="str">
        <f>IF(F92="","",IFERROR(_xlfn.XLOOKUP(F92,TableLibraryBarriers[Type],TableLibraryBarriers[ModuleLength]),""))</f>
        <v/>
      </c>
      <c r="Q92" t="str">
        <f>IF(F92="","",IFERROR(_xlfn.XLOOKUP(F92,TableLibraryBarriers[Type],TableLibraryBarriers[Height]),""))</f>
        <v/>
      </c>
      <c r="R92" t="str">
        <f>IF(F92="","",IFERROR(_xlfn.XLOOKUP(F92,TableLibraryBarriers[Type],TableLibraryBarriers[Width]),""))</f>
        <v/>
      </c>
      <c r="S92" t="str">
        <f>IF(F92="","",IFERROR(_xlfn.XLOOKUP(F92,TableLibraryBarriers[Type],TableLibraryBarriers[ContainmentLevel]),""))</f>
        <v/>
      </c>
      <c r="T92" t="str">
        <f>IF(F92="","",IFERROR(_xlfn.XLOOKUP(F92,TableLibraryBarriers[Type],TableLibraryBarriers[WorkingWidth]),""))</f>
        <v/>
      </c>
      <c r="U92" t="str">
        <f>IF(F92="","",IFERROR(_xlfn.XLOOKUP(F92,TableLibraryBarriers[Type],TableLibraryBarriers[Layer]),""))</f>
        <v/>
      </c>
      <c r="V92" t="str">
        <f>IF(F92="","",IFERROR(_xlfn.XLOOKUP(F92,TableLibraryBarriers[Type],TableLibraryBarriers[TimeUnitLength(h)]),""))</f>
        <v/>
      </c>
      <c r="W92" t="str">
        <f>IF(F92="","",IFERROR(_xlfn.XLOOKUP(F92,TableLibraryBarriers[Type],TableLibraryBarriers[CostUnitLength]),""))</f>
        <v/>
      </c>
      <c r="X92" t="str">
        <f>IF(F92="","",IFERROR(_xlfn.XLOOKUP(F92,TableLibraryBarriers[Type],TableLibraryBarriers[Notes]),""))</f>
        <v/>
      </c>
      <c r="Y92" s="19"/>
      <c r="Z92" s="19"/>
    </row>
    <row r="93" spans="1:26">
      <c r="A93" t="str">
        <f t="shared" si="1"/>
        <v/>
      </c>
      <c r="C93" s="21"/>
      <c r="D93" s="21"/>
      <c r="E93" s="19"/>
      <c r="G93" s="16" t="str">
        <f>IF(BarriersTable[[#This Row],[PKStartValue]]="","",IF(C93="","",INT(C93/1000)&amp;"+"&amp;TEXT(MOD(C93,1000),"000.00")))</f>
        <v/>
      </c>
      <c r="H93" s="16" t="str">
        <f>IF(BarriersTable[[#This Row],[PKEndValue]]="","",IF(D93="","",INT(D93/1000)&amp;"+"&amp;TEXT(MOD(D93,1000),"000.00")))</f>
        <v/>
      </c>
      <c r="I93" t="str">
        <f>IF(F93="","",IFERROR(_xlfn.XLOOKUP(F93,TableLibraryBarriers[Type],TableLibraryBarriers[BarrierFamily]),""))</f>
        <v/>
      </c>
      <c r="J93" t="str">
        <f>IF(F93="","",IFERROR(_xlfn.XLOOKUP(F93,TableLibraryBarriers[Type],TableLibraryBarriers[BarrierType]),""))</f>
        <v/>
      </c>
      <c r="K93" t="str">
        <f>IF(F93="","",IFERROR(_xlfn.XLOOKUP(F93,TableLibraryBarriers[Type],TableLibraryBarriers[BlockLinear]),""))</f>
        <v/>
      </c>
      <c r="L93" t="str">
        <f>IF(F93="","",IFERROR(_xlfn.XLOOKUP(F93,TableLibraryBarriers[Type],TableLibraryBarriers[BlockPost]),""))</f>
        <v/>
      </c>
      <c r="M93" t="str">
        <f>IF(F93="","",IFERROR(_xlfn.XLOOKUP(F93,TableLibraryBarriers[Type],TableLibraryBarriers[IFCEntity]),""))</f>
        <v/>
      </c>
      <c r="N93" t="str">
        <f>IF(F93="","",IFERROR(_xlfn.XLOOKUP(F93,TableLibraryBarriers[Type],TableLibraryBarriers[Material]),""))</f>
        <v/>
      </c>
      <c r="O93" t="str">
        <f>IF(F93="","",IFERROR(_xlfn.XLOOKUP(F93,TableLibraryBarriers[Type],TableLibraryBarriers[PostSpacing]),""))</f>
        <v/>
      </c>
      <c r="P93" t="str">
        <f>IF(F93="","",IFERROR(_xlfn.XLOOKUP(F93,TableLibraryBarriers[Type],TableLibraryBarriers[ModuleLength]),""))</f>
        <v/>
      </c>
      <c r="Q93" t="str">
        <f>IF(F93="","",IFERROR(_xlfn.XLOOKUP(F93,TableLibraryBarriers[Type],TableLibraryBarriers[Height]),""))</f>
        <v/>
      </c>
      <c r="R93" t="str">
        <f>IF(F93="","",IFERROR(_xlfn.XLOOKUP(F93,TableLibraryBarriers[Type],TableLibraryBarriers[Width]),""))</f>
        <v/>
      </c>
      <c r="S93" t="str">
        <f>IF(F93="","",IFERROR(_xlfn.XLOOKUP(F93,TableLibraryBarriers[Type],TableLibraryBarriers[ContainmentLevel]),""))</f>
        <v/>
      </c>
      <c r="T93" t="str">
        <f>IF(F93="","",IFERROR(_xlfn.XLOOKUP(F93,TableLibraryBarriers[Type],TableLibraryBarriers[WorkingWidth]),""))</f>
        <v/>
      </c>
      <c r="U93" t="str">
        <f>IF(F93="","",IFERROR(_xlfn.XLOOKUP(F93,TableLibraryBarriers[Type],TableLibraryBarriers[Layer]),""))</f>
        <v/>
      </c>
      <c r="V93" t="str">
        <f>IF(F93="","",IFERROR(_xlfn.XLOOKUP(F93,TableLibraryBarriers[Type],TableLibraryBarriers[TimeUnitLength(h)]),""))</f>
        <v/>
      </c>
      <c r="W93" t="str">
        <f>IF(F93="","",IFERROR(_xlfn.XLOOKUP(F93,TableLibraryBarriers[Type],TableLibraryBarriers[CostUnitLength]),""))</f>
        <v/>
      </c>
      <c r="X93" t="str">
        <f>IF(F93="","",IFERROR(_xlfn.XLOOKUP(F93,TableLibraryBarriers[Type],TableLibraryBarriers[Notes]),""))</f>
        <v/>
      </c>
      <c r="Y93" s="19"/>
      <c r="Z93" s="19"/>
    </row>
    <row r="94" spans="1:26">
      <c r="A94" t="str">
        <f t="shared" si="1"/>
        <v/>
      </c>
      <c r="C94" s="21"/>
      <c r="D94" s="21"/>
      <c r="E94" s="19"/>
      <c r="G94" s="16" t="str">
        <f>IF(BarriersTable[[#This Row],[PKStartValue]]="","",IF(C94="","",INT(C94/1000)&amp;"+"&amp;TEXT(MOD(C94,1000),"000.00")))</f>
        <v/>
      </c>
      <c r="H94" s="16" t="str">
        <f>IF(BarriersTable[[#This Row],[PKEndValue]]="","",IF(D94="","",INT(D94/1000)&amp;"+"&amp;TEXT(MOD(D94,1000),"000.00")))</f>
        <v/>
      </c>
      <c r="I94" t="str">
        <f>IF(F94="","",IFERROR(_xlfn.XLOOKUP(F94,TableLibraryBarriers[Type],TableLibraryBarriers[BarrierFamily]),""))</f>
        <v/>
      </c>
      <c r="J94" t="str">
        <f>IF(F94="","",IFERROR(_xlfn.XLOOKUP(F94,TableLibraryBarriers[Type],TableLibraryBarriers[BarrierType]),""))</f>
        <v/>
      </c>
      <c r="K94" t="str">
        <f>IF(F94="","",IFERROR(_xlfn.XLOOKUP(F94,TableLibraryBarriers[Type],TableLibraryBarriers[BlockLinear]),""))</f>
        <v/>
      </c>
      <c r="L94" t="str">
        <f>IF(F94="","",IFERROR(_xlfn.XLOOKUP(F94,TableLibraryBarriers[Type],TableLibraryBarriers[BlockPost]),""))</f>
        <v/>
      </c>
      <c r="M94" t="str">
        <f>IF(F94="","",IFERROR(_xlfn.XLOOKUP(F94,TableLibraryBarriers[Type],TableLibraryBarriers[IFCEntity]),""))</f>
        <v/>
      </c>
      <c r="N94" t="str">
        <f>IF(F94="","",IFERROR(_xlfn.XLOOKUP(F94,TableLibraryBarriers[Type],TableLibraryBarriers[Material]),""))</f>
        <v/>
      </c>
      <c r="O94" t="str">
        <f>IF(F94="","",IFERROR(_xlfn.XLOOKUP(F94,TableLibraryBarriers[Type],TableLibraryBarriers[PostSpacing]),""))</f>
        <v/>
      </c>
      <c r="P94" t="str">
        <f>IF(F94="","",IFERROR(_xlfn.XLOOKUP(F94,TableLibraryBarriers[Type],TableLibraryBarriers[ModuleLength]),""))</f>
        <v/>
      </c>
      <c r="Q94" t="str">
        <f>IF(F94="","",IFERROR(_xlfn.XLOOKUP(F94,TableLibraryBarriers[Type],TableLibraryBarriers[Height]),""))</f>
        <v/>
      </c>
      <c r="R94" t="str">
        <f>IF(F94="","",IFERROR(_xlfn.XLOOKUP(F94,TableLibraryBarriers[Type],TableLibraryBarriers[Width]),""))</f>
        <v/>
      </c>
      <c r="S94" t="str">
        <f>IF(F94="","",IFERROR(_xlfn.XLOOKUP(F94,TableLibraryBarriers[Type],TableLibraryBarriers[ContainmentLevel]),""))</f>
        <v/>
      </c>
      <c r="T94" t="str">
        <f>IF(F94="","",IFERROR(_xlfn.XLOOKUP(F94,TableLibraryBarriers[Type],TableLibraryBarriers[WorkingWidth]),""))</f>
        <v/>
      </c>
      <c r="U94" t="str">
        <f>IF(F94="","",IFERROR(_xlfn.XLOOKUP(F94,TableLibraryBarriers[Type],TableLibraryBarriers[Layer]),""))</f>
        <v/>
      </c>
      <c r="V94" t="str">
        <f>IF(F94="","",IFERROR(_xlfn.XLOOKUP(F94,TableLibraryBarriers[Type],TableLibraryBarriers[TimeUnitLength(h)]),""))</f>
        <v/>
      </c>
      <c r="W94" t="str">
        <f>IF(F94="","",IFERROR(_xlfn.XLOOKUP(F94,TableLibraryBarriers[Type],TableLibraryBarriers[CostUnitLength]),""))</f>
        <v/>
      </c>
      <c r="X94" t="str">
        <f>IF(F94="","",IFERROR(_xlfn.XLOOKUP(F94,TableLibraryBarriers[Type],TableLibraryBarriers[Notes]),""))</f>
        <v/>
      </c>
      <c r="Y94" s="19"/>
      <c r="Z94" s="19"/>
    </row>
    <row r="95" spans="1:26">
      <c r="A95" t="str">
        <f t="shared" si="1"/>
        <v/>
      </c>
      <c r="C95" s="21"/>
      <c r="D95" s="21"/>
      <c r="E95" s="19"/>
      <c r="G95" s="16" t="str">
        <f>IF(BarriersTable[[#This Row],[PKStartValue]]="","",IF(C95="","",INT(C95/1000)&amp;"+"&amp;TEXT(MOD(C95,1000),"000.00")))</f>
        <v/>
      </c>
      <c r="H95" s="16" t="str">
        <f>IF(BarriersTable[[#This Row],[PKEndValue]]="","",IF(D95="","",INT(D95/1000)&amp;"+"&amp;TEXT(MOD(D95,1000),"000.00")))</f>
        <v/>
      </c>
      <c r="I95" t="str">
        <f>IF(F95="","",IFERROR(_xlfn.XLOOKUP(F95,TableLibraryBarriers[Type],TableLibraryBarriers[BarrierFamily]),""))</f>
        <v/>
      </c>
      <c r="J95" t="str">
        <f>IF(F95="","",IFERROR(_xlfn.XLOOKUP(F95,TableLibraryBarriers[Type],TableLibraryBarriers[BarrierType]),""))</f>
        <v/>
      </c>
      <c r="K95" t="str">
        <f>IF(F95="","",IFERROR(_xlfn.XLOOKUP(F95,TableLibraryBarriers[Type],TableLibraryBarriers[BlockLinear]),""))</f>
        <v/>
      </c>
      <c r="L95" t="str">
        <f>IF(F95="","",IFERROR(_xlfn.XLOOKUP(F95,TableLibraryBarriers[Type],TableLibraryBarriers[BlockPost]),""))</f>
        <v/>
      </c>
      <c r="M95" t="str">
        <f>IF(F95="","",IFERROR(_xlfn.XLOOKUP(F95,TableLibraryBarriers[Type],TableLibraryBarriers[IFCEntity]),""))</f>
        <v/>
      </c>
      <c r="N95" t="str">
        <f>IF(F95="","",IFERROR(_xlfn.XLOOKUP(F95,TableLibraryBarriers[Type],TableLibraryBarriers[Material]),""))</f>
        <v/>
      </c>
      <c r="O95" t="str">
        <f>IF(F95="","",IFERROR(_xlfn.XLOOKUP(F95,TableLibraryBarriers[Type],TableLibraryBarriers[PostSpacing]),""))</f>
        <v/>
      </c>
      <c r="P95" t="str">
        <f>IF(F95="","",IFERROR(_xlfn.XLOOKUP(F95,TableLibraryBarriers[Type],TableLibraryBarriers[ModuleLength]),""))</f>
        <v/>
      </c>
      <c r="Q95" t="str">
        <f>IF(F95="","",IFERROR(_xlfn.XLOOKUP(F95,TableLibraryBarriers[Type],TableLibraryBarriers[Height]),""))</f>
        <v/>
      </c>
      <c r="R95" t="str">
        <f>IF(F95="","",IFERROR(_xlfn.XLOOKUP(F95,TableLibraryBarriers[Type],TableLibraryBarriers[Width]),""))</f>
        <v/>
      </c>
      <c r="S95" t="str">
        <f>IF(F95="","",IFERROR(_xlfn.XLOOKUP(F95,TableLibraryBarriers[Type],TableLibraryBarriers[ContainmentLevel]),""))</f>
        <v/>
      </c>
      <c r="T95" t="str">
        <f>IF(F95="","",IFERROR(_xlfn.XLOOKUP(F95,TableLibraryBarriers[Type],TableLibraryBarriers[WorkingWidth]),""))</f>
        <v/>
      </c>
      <c r="U95" t="str">
        <f>IF(F95="","",IFERROR(_xlfn.XLOOKUP(F95,TableLibraryBarriers[Type],TableLibraryBarriers[Layer]),""))</f>
        <v/>
      </c>
      <c r="V95" t="str">
        <f>IF(F95="","",IFERROR(_xlfn.XLOOKUP(F95,TableLibraryBarriers[Type],TableLibraryBarriers[TimeUnitLength(h)]),""))</f>
        <v/>
      </c>
      <c r="W95" t="str">
        <f>IF(F95="","",IFERROR(_xlfn.XLOOKUP(F95,TableLibraryBarriers[Type],TableLibraryBarriers[CostUnitLength]),""))</f>
        <v/>
      </c>
      <c r="X95" t="str">
        <f>IF(F95="","",IFERROR(_xlfn.XLOOKUP(F95,TableLibraryBarriers[Type],TableLibraryBarriers[Notes]),""))</f>
        <v/>
      </c>
      <c r="Y95" s="19"/>
      <c r="Z95" s="19"/>
    </row>
    <row r="96" spans="1:26">
      <c r="A96" t="str">
        <f t="shared" si="1"/>
        <v/>
      </c>
      <c r="C96" s="21"/>
      <c r="D96" s="21"/>
      <c r="E96" s="19"/>
      <c r="G96" s="16" t="str">
        <f>IF(BarriersTable[[#This Row],[PKStartValue]]="","",IF(C96="","",INT(C96/1000)&amp;"+"&amp;TEXT(MOD(C96,1000),"000.00")))</f>
        <v/>
      </c>
      <c r="H96" s="16" t="str">
        <f>IF(BarriersTable[[#This Row],[PKEndValue]]="","",IF(D96="","",INT(D96/1000)&amp;"+"&amp;TEXT(MOD(D96,1000),"000.00")))</f>
        <v/>
      </c>
      <c r="I96" t="str">
        <f>IF(F96="","",IFERROR(_xlfn.XLOOKUP(F96,TableLibraryBarriers[Type],TableLibraryBarriers[BarrierFamily]),""))</f>
        <v/>
      </c>
      <c r="J96" t="str">
        <f>IF(F96="","",IFERROR(_xlfn.XLOOKUP(F96,TableLibraryBarriers[Type],TableLibraryBarriers[BarrierType]),""))</f>
        <v/>
      </c>
      <c r="K96" t="str">
        <f>IF(F96="","",IFERROR(_xlfn.XLOOKUP(F96,TableLibraryBarriers[Type],TableLibraryBarriers[BlockLinear]),""))</f>
        <v/>
      </c>
      <c r="L96" t="str">
        <f>IF(F96="","",IFERROR(_xlfn.XLOOKUP(F96,TableLibraryBarriers[Type],TableLibraryBarriers[BlockPost]),""))</f>
        <v/>
      </c>
      <c r="M96" t="str">
        <f>IF(F96="","",IFERROR(_xlfn.XLOOKUP(F96,TableLibraryBarriers[Type],TableLibraryBarriers[IFCEntity]),""))</f>
        <v/>
      </c>
      <c r="N96" t="str">
        <f>IF(F96="","",IFERROR(_xlfn.XLOOKUP(F96,TableLibraryBarriers[Type],TableLibraryBarriers[Material]),""))</f>
        <v/>
      </c>
      <c r="O96" t="str">
        <f>IF(F96="","",IFERROR(_xlfn.XLOOKUP(F96,TableLibraryBarriers[Type],TableLibraryBarriers[PostSpacing]),""))</f>
        <v/>
      </c>
      <c r="P96" t="str">
        <f>IF(F96="","",IFERROR(_xlfn.XLOOKUP(F96,TableLibraryBarriers[Type],TableLibraryBarriers[ModuleLength]),""))</f>
        <v/>
      </c>
      <c r="Q96" t="str">
        <f>IF(F96="","",IFERROR(_xlfn.XLOOKUP(F96,TableLibraryBarriers[Type],TableLibraryBarriers[Height]),""))</f>
        <v/>
      </c>
      <c r="R96" t="str">
        <f>IF(F96="","",IFERROR(_xlfn.XLOOKUP(F96,TableLibraryBarriers[Type],TableLibraryBarriers[Width]),""))</f>
        <v/>
      </c>
      <c r="S96" t="str">
        <f>IF(F96="","",IFERROR(_xlfn.XLOOKUP(F96,TableLibraryBarriers[Type],TableLibraryBarriers[ContainmentLevel]),""))</f>
        <v/>
      </c>
      <c r="T96" t="str">
        <f>IF(F96="","",IFERROR(_xlfn.XLOOKUP(F96,TableLibraryBarriers[Type],TableLibraryBarriers[WorkingWidth]),""))</f>
        <v/>
      </c>
      <c r="U96" t="str">
        <f>IF(F96="","",IFERROR(_xlfn.XLOOKUP(F96,TableLibraryBarriers[Type],TableLibraryBarriers[Layer]),""))</f>
        <v/>
      </c>
      <c r="V96" t="str">
        <f>IF(F96="","",IFERROR(_xlfn.XLOOKUP(F96,TableLibraryBarriers[Type],TableLibraryBarriers[TimeUnitLength(h)]),""))</f>
        <v/>
      </c>
      <c r="W96" t="str">
        <f>IF(F96="","",IFERROR(_xlfn.XLOOKUP(F96,TableLibraryBarriers[Type],TableLibraryBarriers[CostUnitLength]),""))</f>
        <v/>
      </c>
      <c r="X96" t="str">
        <f>IF(F96="","",IFERROR(_xlfn.XLOOKUP(F96,TableLibraryBarriers[Type],TableLibraryBarriers[Notes]),""))</f>
        <v/>
      </c>
      <c r="Y96" s="19"/>
      <c r="Z96" s="19"/>
    </row>
    <row r="97" spans="1:26">
      <c r="A97" t="str">
        <f t="shared" si="1"/>
        <v/>
      </c>
      <c r="C97" s="21"/>
      <c r="D97" s="21"/>
      <c r="E97" s="19"/>
      <c r="G97" s="16" t="str">
        <f>IF(BarriersTable[[#This Row],[PKStartValue]]="","",IF(C97="","",INT(C97/1000)&amp;"+"&amp;TEXT(MOD(C97,1000),"000.00")))</f>
        <v/>
      </c>
      <c r="H97" s="16" t="str">
        <f>IF(BarriersTable[[#This Row],[PKEndValue]]="","",IF(D97="","",INT(D97/1000)&amp;"+"&amp;TEXT(MOD(D97,1000),"000.00")))</f>
        <v/>
      </c>
      <c r="I97" t="str">
        <f>IF(F97="","",IFERROR(_xlfn.XLOOKUP(F97,TableLibraryBarriers[Type],TableLibraryBarriers[BarrierFamily]),""))</f>
        <v/>
      </c>
      <c r="J97" t="str">
        <f>IF(F97="","",IFERROR(_xlfn.XLOOKUP(F97,TableLibraryBarriers[Type],TableLibraryBarriers[BarrierType]),""))</f>
        <v/>
      </c>
      <c r="K97" t="str">
        <f>IF(F97="","",IFERROR(_xlfn.XLOOKUP(F97,TableLibraryBarriers[Type],TableLibraryBarriers[BlockLinear]),""))</f>
        <v/>
      </c>
      <c r="L97" t="str">
        <f>IF(F97="","",IFERROR(_xlfn.XLOOKUP(F97,TableLibraryBarriers[Type],TableLibraryBarriers[BlockPost]),""))</f>
        <v/>
      </c>
      <c r="M97" t="str">
        <f>IF(F97="","",IFERROR(_xlfn.XLOOKUP(F97,TableLibraryBarriers[Type],TableLibraryBarriers[IFCEntity]),""))</f>
        <v/>
      </c>
      <c r="N97" t="str">
        <f>IF(F97="","",IFERROR(_xlfn.XLOOKUP(F97,TableLibraryBarriers[Type],TableLibraryBarriers[Material]),""))</f>
        <v/>
      </c>
      <c r="O97" t="str">
        <f>IF(F97="","",IFERROR(_xlfn.XLOOKUP(F97,TableLibraryBarriers[Type],TableLibraryBarriers[PostSpacing]),""))</f>
        <v/>
      </c>
      <c r="P97" t="str">
        <f>IF(F97="","",IFERROR(_xlfn.XLOOKUP(F97,TableLibraryBarriers[Type],TableLibraryBarriers[ModuleLength]),""))</f>
        <v/>
      </c>
      <c r="Q97" t="str">
        <f>IF(F97="","",IFERROR(_xlfn.XLOOKUP(F97,TableLibraryBarriers[Type],TableLibraryBarriers[Height]),""))</f>
        <v/>
      </c>
      <c r="R97" t="str">
        <f>IF(F97="","",IFERROR(_xlfn.XLOOKUP(F97,TableLibraryBarriers[Type],TableLibraryBarriers[Width]),""))</f>
        <v/>
      </c>
      <c r="S97" t="str">
        <f>IF(F97="","",IFERROR(_xlfn.XLOOKUP(F97,TableLibraryBarriers[Type],TableLibraryBarriers[ContainmentLevel]),""))</f>
        <v/>
      </c>
      <c r="T97" t="str">
        <f>IF(F97="","",IFERROR(_xlfn.XLOOKUP(F97,TableLibraryBarriers[Type],TableLibraryBarriers[WorkingWidth]),""))</f>
        <v/>
      </c>
      <c r="U97" t="str">
        <f>IF(F97="","",IFERROR(_xlfn.XLOOKUP(F97,TableLibraryBarriers[Type],TableLibraryBarriers[Layer]),""))</f>
        <v/>
      </c>
      <c r="V97" t="str">
        <f>IF(F97="","",IFERROR(_xlfn.XLOOKUP(F97,TableLibraryBarriers[Type],TableLibraryBarriers[TimeUnitLength(h)]),""))</f>
        <v/>
      </c>
      <c r="W97" t="str">
        <f>IF(F97="","",IFERROR(_xlfn.XLOOKUP(F97,TableLibraryBarriers[Type],TableLibraryBarriers[CostUnitLength]),""))</f>
        <v/>
      </c>
      <c r="X97" t="str">
        <f>IF(F97="","",IFERROR(_xlfn.XLOOKUP(F97,TableLibraryBarriers[Type],TableLibraryBarriers[Notes]),""))</f>
        <v/>
      </c>
      <c r="Y97" s="19"/>
      <c r="Z97" s="19"/>
    </row>
    <row r="98" spans="1:26">
      <c r="A98" t="str">
        <f t="shared" si="1"/>
        <v/>
      </c>
      <c r="C98" s="21"/>
      <c r="D98" s="21"/>
      <c r="E98" s="19"/>
      <c r="G98" s="16" t="str">
        <f>IF(BarriersTable[[#This Row],[PKStartValue]]="","",IF(C98="","",INT(C98/1000)&amp;"+"&amp;TEXT(MOD(C98,1000),"000.00")))</f>
        <v/>
      </c>
      <c r="H98" s="16" t="str">
        <f>IF(BarriersTable[[#This Row],[PKEndValue]]="","",IF(D98="","",INT(D98/1000)&amp;"+"&amp;TEXT(MOD(D98,1000),"000.00")))</f>
        <v/>
      </c>
      <c r="I98" t="str">
        <f>IF(F98="","",IFERROR(_xlfn.XLOOKUP(F98,TableLibraryBarriers[Type],TableLibraryBarriers[BarrierFamily]),""))</f>
        <v/>
      </c>
      <c r="J98" t="str">
        <f>IF(F98="","",IFERROR(_xlfn.XLOOKUP(F98,TableLibraryBarriers[Type],TableLibraryBarriers[BarrierType]),""))</f>
        <v/>
      </c>
      <c r="K98" t="str">
        <f>IF(F98="","",IFERROR(_xlfn.XLOOKUP(F98,TableLibraryBarriers[Type],TableLibraryBarriers[BlockLinear]),""))</f>
        <v/>
      </c>
      <c r="L98" t="str">
        <f>IF(F98="","",IFERROR(_xlfn.XLOOKUP(F98,TableLibraryBarriers[Type],TableLibraryBarriers[BlockPost]),""))</f>
        <v/>
      </c>
      <c r="M98" t="str">
        <f>IF(F98="","",IFERROR(_xlfn.XLOOKUP(F98,TableLibraryBarriers[Type],TableLibraryBarriers[IFCEntity]),""))</f>
        <v/>
      </c>
      <c r="N98" t="str">
        <f>IF(F98="","",IFERROR(_xlfn.XLOOKUP(F98,TableLibraryBarriers[Type],TableLibraryBarriers[Material]),""))</f>
        <v/>
      </c>
      <c r="O98" t="str">
        <f>IF(F98="","",IFERROR(_xlfn.XLOOKUP(F98,TableLibraryBarriers[Type],TableLibraryBarriers[PostSpacing]),""))</f>
        <v/>
      </c>
      <c r="P98" t="str">
        <f>IF(F98="","",IFERROR(_xlfn.XLOOKUP(F98,TableLibraryBarriers[Type],TableLibraryBarriers[ModuleLength]),""))</f>
        <v/>
      </c>
      <c r="Q98" t="str">
        <f>IF(F98="","",IFERROR(_xlfn.XLOOKUP(F98,TableLibraryBarriers[Type],TableLibraryBarriers[Height]),""))</f>
        <v/>
      </c>
      <c r="R98" t="str">
        <f>IF(F98="","",IFERROR(_xlfn.XLOOKUP(F98,TableLibraryBarriers[Type],TableLibraryBarriers[Width]),""))</f>
        <v/>
      </c>
      <c r="S98" t="str">
        <f>IF(F98="","",IFERROR(_xlfn.XLOOKUP(F98,TableLibraryBarriers[Type],TableLibraryBarriers[ContainmentLevel]),""))</f>
        <v/>
      </c>
      <c r="T98" t="str">
        <f>IF(F98="","",IFERROR(_xlfn.XLOOKUP(F98,TableLibraryBarriers[Type],TableLibraryBarriers[WorkingWidth]),""))</f>
        <v/>
      </c>
      <c r="U98" t="str">
        <f>IF(F98="","",IFERROR(_xlfn.XLOOKUP(F98,TableLibraryBarriers[Type],TableLibraryBarriers[Layer]),""))</f>
        <v/>
      </c>
      <c r="V98" t="str">
        <f>IF(F98="","",IFERROR(_xlfn.XLOOKUP(F98,TableLibraryBarriers[Type],TableLibraryBarriers[TimeUnitLength(h)]),""))</f>
        <v/>
      </c>
      <c r="W98" t="str">
        <f>IF(F98="","",IFERROR(_xlfn.XLOOKUP(F98,TableLibraryBarriers[Type],TableLibraryBarriers[CostUnitLength]),""))</f>
        <v/>
      </c>
      <c r="X98" t="str">
        <f>IF(F98="","",IFERROR(_xlfn.XLOOKUP(F98,TableLibraryBarriers[Type],TableLibraryBarriers[Notes]),""))</f>
        <v/>
      </c>
      <c r="Y98" s="19"/>
      <c r="Z98" s="19"/>
    </row>
    <row r="99" spans="1:26">
      <c r="A99" t="str">
        <f t="shared" si="1"/>
        <v/>
      </c>
      <c r="C99" s="21"/>
      <c r="D99" s="21"/>
      <c r="E99" s="19"/>
      <c r="G99" s="16" t="str">
        <f>IF(BarriersTable[[#This Row],[PKStartValue]]="","",IF(C99="","",INT(C99/1000)&amp;"+"&amp;TEXT(MOD(C99,1000),"000.00")))</f>
        <v/>
      </c>
      <c r="H99" s="16" t="str">
        <f>IF(BarriersTable[[#This Row],[PKEndValue]]="","",IF(D99="","",INT(D99/1000)&amp;"+"&amp;TEXT(MOD(D99,1000),"000.00")))</f>
        <v/>
      </c>
      <c r="I99" t="str">
        <f>IF(F99="","",IFERROR(_xlfn.XLOOKUP(F99,TableLibraryBarriers[Type],TableLibraryBarriers[BarrierFamily]),""))</f>
        <v/>
      </c>
      <c r="J99" t="str">
        <f>IF(F99="","",IFERROR(_xlfn.XLOOKUP(F99,TableLibraryBarriers[Type],TableLibraryBarriers[BarrierType]),""))</f>
        <v/>
      </c>
      <c r="K99" t="str">
        <f>IF(F99="","",IFERROR(_xlfn.XLOOKUP(F99,TableLibraryBarriers[Type],TableLibraryBarriers[BlockLinear]),""))</f>
        <v/>
      </c>
      <c r="L99" t="str">
        <f>IF(F99="","",IFERROR(_xlfn.XLOOKUP(F99,TableLibraryBarriers[Type],TableLibraryBarriers[BlockPost]),""))</f>
        <v/>
      </c>
      <c r="M99" t="str">
        <f>IF(F99="","",IFERROR(_xlfn.XLOOKUP(F99,TableLibraryBarriers[Type],TableLibraryBarriers[IFCEntity]),""))</f>
        <v/>
      </c>
      <c r="N99" t="str">
        <f>IF(F99="","",IFERROR(_xlfn.XLOOKUP(F99,TableLibraryBarriers[Type],TableLibraryBarriers[Material]),""))</f>
        <v/>
      </c>
      <c r="O99" t="str">
        <f>IF(F99="","",IFERROR(_xlfn.XLOOKUP(F99,TableLibraryBarriers[Type],TableLibraryBarriers[PostSpacing]),""))</f>
        <v/>
      </c>
      <c r="P99" t="str">
        <f>IF(F99="","",IFERROR(_xlfn.XLOOKUP(F99,TableLibraryBarriers[Type],TableLibraryBarriers[ModuleLength]),""))</f>
        <v/>
      </c>
      <c r="Q99" t="str">
        <f>IF(F99="","",IFERROR(_xlfn.XLOOKUP(F99,TableLibraryBarriers[Type],TableLibraryBarriers[Height]),""))</f>
        <v/>
      </c>
      <c r="R99" t="str">
        <f>IF(F99="","",IFERROR(_xlfn.XLOOKUP(F99,TableLibraryBarriers[Type],TableLibraryBarriers[Width]),""))</f>
        <v/>
      </c>
      <c r="S99" t="str">
        <f>IF(F99="","",IFERROR(_xlfn.XLOOKUP(F99,TableLibraryBarriers[Type],TableLibraryBarriers[ContainmentLevel]),""))</f>
        <v/>
      </c>
      <c r="T99" t="str">
        <f>IF(F99="","",IFERROR(_xlfn.XLOOKUP(F99,TableLibraryBarriers[Type],TableLibraryBarriers[WorkingWidth]),""))</f>
        <v/>
      </c>
      <c r="U99" t="str">
        <f>IF(F99="","",IFERROR(_xlfn.XLOOKUP(F99,TableLibraryBarriers[Type],TableLibraryBarriers[Layer]),""))</f>
        <v/>
      </c>
      <c r="V99" t="str">
        <f>IF(F99="","",IFERROR(_xlfn.XLOOKUP(F99,TableLibraryBarriers[Type],TableLibraryBarriers[TimeUnitLength(h)]),""))</f>
        <v/>
      </c>
      <c r="W99" t="str">
        <f>IF(F99="","",IFERROR(_xlfn.XLOOKUP(F99,TableLibraryBarriers[Type],TableLibraryBarriers[CostUnitLength]),""))</f>
        <v/>
      </c>
      <c r="X99" t="str">
        <f>IF(F99="","",IFERROR(_xlfn.XLOOKUP(F99,TableLibraryBarriers[Type],TableLibraryBarriers[Notes]),""))</f>
        <v/>
      </c>
      <c r="Y99" s="19"/>
      <c r="Z99" s="19"/>
    </row>
    <row r="100" spans="1:26">
      <c r="A100" t="str">
        <f t="shared" si="1"/>
        <v/>
      </c>
      <c r="C100" s="21"/>
      <c r="D100" s="21"/>
      <c r="E100" s="19"/>
      <c r="G100" s="16" t="str">
        <f>IF(BarriersTable[[#This Row],[PKStartValue]]="","",IF(C100="","",INT(C100/1000)&amp;"+"&amp;TEXT(MOD(C100,1000),"000.00")))</f>
        <v/>
      </c>
      <c r="H100" s="16" t="str">
        <f>IF(BarriersTable[[#This Row],[PKEndValue]]="","",IF(D100="","",INT(D100/1000)&amp;"+"&amp;TEXT(MOD(D100,1000),"000.00")))</f>
        <v/>
      </c>
      <c r="I100" t="str">
        <f>IF(F100="","",IFERROR(_xlfn.XLOOKUP(F100,TableLibraryBarriers[Type],TableLibraryBarriers[BarrierFamily]),""))</f>
        <v/>
      </c>
      <c r="J100" t="str">
        <f>IF(F100="","",IFERROR(_xlfn.XLOOKUP(F100,TableLibraryBarriers[Type],TableLibraryBarriers[BarrierType]),""))</f>
        <v/>
      </c>
      <c r="K100" t="str">
        <f>IF(F100="","",IFERROR(_xlfn.XLOOKUP(F100,TableLibraryBarriers[Type],TableLibraryBarriers[BlockLinear]),""))</f>
        <v/>
      </c>
      <c r="L100" t="str">
        <f>IF(F100="","",IFERROR(_xlfn.XLOOKUP(F100,TableLibraryBarriers[Type],TableLibraryBarriers[BlockPost]),""))</f>
        <v/>
      </c>
      <c r="M100" t="str">
        <f>IF(F100="","",IFERROR(_xlfn.XLOOKUP(F100,TableLibraryBarriers[Type],TableLibraryBarriers[IFCEntity]),""))</f>
        <v/>
      </c>
      <c r="N100" t="str">
        <f>IF(F100="","",IFERROR(_xlfn.XLOOKUP(F100,TableLibraryBarriers[Type],TableLibraryBarriers[Material]),""))</f>
        <v/>
      </c>
      <c r="O100" t="str">
        <f>IF(F100="","",IFERROR(_xlfn.XLOOKUP(F100,TableLibraryBarriers[Type],TableLibraryBarriers[PostSpacing]),""))</f>
        <v/>
      </c>
      <c r="P100" t="str">
        <f>IF(F100="","",IFERROR(_xlfn.XLOOKUP(F100,TableLibraryBarriers[Type],TableLibraryBarriers[ModuleLength]),""))</f>
        <v/>
      </c>
      <c r="Q100" t="str">
        <f>IF(F100="","",IFERROR(_xlfn.XLOOKUP(F100,TableLibraryBarriers[Type],TableLibraryBarriers[Height]),""))</f>
        <v/>
      </c>
      <c r="R100" t="str">
        <f>IF(F100="","",IFERROR(_xlfn.XLOOKUP(F100,TableLibraryBarriers[Type],TableLibraryBarriers[Width]),""))</f>
        <v/>
      </c>
      <c r="S100" t="str">
        <f>IF(F100="","",IFERROR(_xlfn.XLOOKUP(F100,TableLibraryBarriers[Type],TableLibraryBarriers[ContainmentLevel]),""))</f>
        <v/>
      </c>
      <c r="T100" t="str">
        <f>IF(F100="","",IFERROR(_xlfn.XLOOKUP(F100,TableLibraryBarriers[Type],TableLibraryBarriers[WorkingWidth]),""))</f>
        <v/>
      </c>
      <c r="U100" t="str">
        <f>IF(F100="","",IFERROR(_xlfn.XLOOKUP(F100,TableLibraryBarriers[Type],TableLibraryBarriers[Layer]),""))</f>
        <v/>
      </c>
      <c r="V100" t="str">
        <f>IF(F100="","",IFERROR(_xlfn.XLOOKUP(F100,TableLibraryBarriers[Type],TableLibraryBarriers[TimeUnitLength(h)]),""))</f>
        <v/>
      </c>
      <c r="W100" t="str">
        <f>IF(F100="","",IFERROR(_xlfn.XLOOKUP(F100,TableLibraryBarriers[Type],TableLibraryBarriers[CostUnitLength]),""))</f>
        <v/>
      </c>
      <c r="X100" t="str">
        <f>IF(F100="","",IFERROR(_xlfn.XLOOKUP(F100,TableLibraryBarriers[Type],TableLibraryBarriers[Notes]),""))</f>
        <v/>
      </c>
      <c r="Y100" s="19"/>
      <c r="Z100" s="19"/>
    </row>
    <row r="101" spans="1:26">
      <c r="A101" t="str">
        <f t="shared" si="1"/>
        <v/>
      </c>
      <c r="C101" s="21"/>
      <c r="D101" s="21"/>
      <c r="E101" s="19"/>
      <c r="G101" s="16" t="str">
        <f>IF(BarriersTable[[#This Row],[PKStartValue]]="","",IF(C101="","",INT(C101/1000)&amp;"+"&amp;TEXT(MOD(C101,1000),"000.00")))</f>
        <v/>
      </c>
      <c r="H101" s="16" t="str">
        <f>IF(BarriersTable[[#This Row],[PKEndValue]]="","",IF(D101="","",INT(D101/1000)&amp;"+"&amp;TEXT(MOD(D101,1000),"000.00")))</f>
        <v/>
      </c>
      <c r="I101" t="str">
        <f>IF(F101="","",IFERROR(_xlfn.XLOOKUP(F101,TableLibraryBarriers[Type],TableLibraryBarriers[BarrierFamily]),""))</f>
        <v/>
      </c>
      <c r="J101" t="str">
        <f>IF(F101="","",IFERROR(_xlfn.XLOOKUP(F101,TableLibraryBarriers[Type],TableLibraryBarriers[BarrierType]),""))</f>
        <v/>
      </c>
      <c r="K101" t="str">
        <f>IF(F101="","",IFERROR(_xlfn.XLOOKUP(F101,TableLibraryBarriers[Type],TableLibraryBarriers[BlockLinear]),""))</f>
        <v/>
      </c>
      <c r="L101" t="str">
        <f>IF(F101="","",IFERROR(_xlfn.XLOOKUP(F101,TableLibraryBarriers[Type],TableLibraryBarriers[BlockPost]),""))</f>
        <v/>
      </c>
      <c r="M101" t="str">
        <f>IF(F101="","",IFERROR(_xlfn.XLOOKUP(F101,TableLibraryBarriers[Type],TableLibraryBarriers[IFCEntity]),""))</f>
        <v/>
      </c>
      <c r="N101" t="str">
        <f>IF(F101="","",IFERROR(_xlfn.XLOOKUP(F101,TableLibraryBarriers[Type],TableLibraryBarriers[Material]),""))</f>
        <v/>
      </c>
      <c r="O101" t="str">
        <f>IF(F101="","",IFERROR(_xlfn.XLOOKUP(F101,TableLibraryBarriers[Type],TableLibraryBarriers[PostSpacing]),""))</f>
        <v/>
      </c>
      <c r="P101" t="str">
        <f>IF(F101="","",IFERROR(_xlfn.XLOOKUP(F101,TableLibraryBarriers[Type],TableLibraryBarriers[ModuleLength]),""))</f>
        <v/>
      </c>
      <c r="Q101" t="str">
        <f>IF(F101="","",IFERROR(_xlfn.XLOOKUP(F101,TableLibraryBarriers[Type],TableLibraryBarriers[Height]),""))</f>
        <v/>
      </c>
      <c r="R101" t="str">
        <f>IF(F101="","",IFERROR(_xlfn.XLOOKUP(F101,TableLibraryBarriers[Type],TableLibraryBarriers[Width]),""))</f>
        <v/>
      </c>
      <c r="S101" t="str">
        <f>IF(F101="","",IFERROR(_xlfn.XLOOKUP(F101,TableLibraryBarriers[Type],TableLibraryBarriers[ContainmentLevel]),""))</f>
        <v/>
      </c>
      <c r="T101" t="str">
        <f>IF(F101="","",IFERROR(_xlfn.XLOOKUP(F101,TableLibraryBarriers[Type],TableLibraryBarriers[WorkingWidth]),""))</f>
        <v/>
      </c>
      <c r="U101" t="str">
        <f>IF(F101="","",IFERROR(_xlfn.XLOOKUP(F101,TableLibraryBarriers[Type],TableLibraryBarriers[Layer]),""))</f>
        <v/>
      </c>
      <c r="V101" t="str">
        <f>IF(F101="","",IFERROR(_xlfn.XLOOKUP(F101,TableLibraryBarriers[Type],TableLibraryBarriers[TimeUnitLength(h)]),""))</f>
        <v/>
      </c>
      <c r="W101" t="str">
        <f>IF(F101="","",IFERROR(_xlfn.XLOOKUP(F101,TableLibraryBarriers[Type],TableLibraryBarriers[CostUnitLength]),""))</f>
        <v/>
      </c>
      <c r="X101" t="str">
        <f>IF(F101="","",IFERROR(_xlfn.XLOOKUP(F101,TableLibraryBarriers[Type],TableLibraryBarriers[Notes]),""))</f>
        <v/>
      </c>
      <c r="Y101" s="19"/>
      <c r="Z101" s="19"/>
    </row>
    <row r="102" spans="1:26">
      <c r="A102" t="str">
        <f t="shared" si="1"/>
        <v/>
      </c>
      <c r="C102" s="21"/>
      <c r="D102" s="21"/>
      <c r="E102" s="19"/>
      <c r="G102" s="16" t="str">
        <f>IF(BarriersTable[[#This Row],[PKStartValue]]="","",IF(C102="","",INT(C102/1000)&amp;"+"&amp;TEXT(MOD(C102,1000),"000.00")))</f>
        <v/>
      </c>
      <c r="H102" s="16" t="str">
        <f>IF(BarriersTable[[#This Row],[PKEndValue]]="","",IF(D102="","",INT(D102/1000)&amp;"+"&amp;TEXT(MOD(D102,1000),"000.00")))</f>
        <v/>
      </c>
      <c r="I102" t="str">
        <f>IF(F102="","",IFERROR(_xlfn.XLOOKUP(F102,TableLibraryBarriers[Type],TableLibraryBarriers[BarrierFamily]),""))</f>
        <v/>
      </c>
      <c r="J102" t="str">
        <f>IF(F102="","",IFERROR(_xlfn.XLOOKUP(F102,TableLibraryBarriers[Type],TableLibraryBarriers[BarrierType]),""))</f>
        <v/>
      </c>
      <c r="K102" t="str">
        <f>IF(F102="","",IFERROR(_xlfn.XLOOKUP(F102,TableLibraryBarriers[Type],TableLibraryBarriers[BlockLinear]),""))</f>
        <v/>
      </c>
      <c r="L102" t="str">
        <f>IF(F102="","",IFERROR(_xlfn.XLOOKUP(F102,TableLibraryBarriers[Type],TableLibraryBarriers[BlockPost]),""))</f>
        <v/>
      </c>
      <c r="M102" t="str">
        <f>IF(F102="","",IFERROR(_xlfn.XLOOKUP(F102,TableLibraryBarriers[Type],TableLibraryBarriers[IFCEntity]),""))</f>
        <v/>
      </c>
      <c r="N102" t="str">
        <f>IF(F102="","",IFERROR(_xlfn.XLOOKUP(F102,TableLibraryBarriers[Type],TableLibraryBarriers[Material]),""))</f>
        <v/>
      </c>
      <c r="O102" t="str">
        <f>IF(F102="","",IFERROR(_xlfn.XLOOKUP(F102,TableLibraryBarriers[Type],TableLibraryBarriers[PostSpacing]),""))</f>
        <v/>
      </c>
      <c r="P102" t="str">
        <f>IF(F102="","",IFERROR(_xlfn.XLOOKUP(F102,TableLibraryBarriers[Type],TableLibraryBarriers[ModuleLength]),""))</f>
        <v/>
      </c>
      <c r="Q102" t="str">
        <f>IF(F102="","",IFERROR(_xlfn.XLOOKUP(F102,TableLibraryBarriers[Type],TableLibraryBarriers[Height]),""))</f>
        <v/>
      </c>
      <c r="R102" t="str">
        <f>IF(F102="","",IFERROR(_xlfn.XLOOKUP(F102,TableLibraryBarriers[Type],TableLibraryBarriers[Width]),""))</f>
        <v/>
      </c>
      <c r="S102" t="str">
        <f>IF(F102="","",IFERROR(_xlfn.XLOOKUP(F102,TableLibraryBarriers[Type],TableLibraryBarriers[ContainmentLevel]),""))</f>
        <v/>
      </c>
      <c r="T102" t="str">
        <f>IF(F102="","",IFERROR(_xlfn.XLOOKUP(F102,TableLibraryBarriers[Type],TableLibraryBarriers[WorkingWidth]),""))</f>
        <v/>
      </c>
      <c r="U102" t="str">
        <f>IF(F102="","",IFERROR(_xlfn.XLOOKUP(F102,TableLibraryBarriers[Type],TableLibraryBarriers[Layer]),""))</f>
        <v/>
      </c>
      <c r="V102" t="str">
        <f>IF(F102="","",IFERROR(_xlfn.XLOOKUP(F102,TableLibraryBarriers[Type],TableLibraryBarriers[TimeUnitLength(h)]),""))</f>
        <v/>
      </c>
      <c r="W102" t="str">
        <f>IF(F102="","",IFERROR(_xlfn.XLOOKUP(F102,TableLibraryBarriers[Type],TableLibraryBarriers[CostUnitLength]),""))</f>
        <v/>
      </c>
      <c r="X102" t="str">
        <f>IF(F102="","",IFERROR(_xlfn.XLOOKUP(F102,TableLibraryBarriers[Type],TableLibraryBarriers[Notes]),""))</f>
        <v/>
      </c>
      <c r="Y102" s="19"/>
      <c r="Z102" s="19"/>
    </row>
    <row r="103" spans="1:26">
      <c r="A103" t="str">
        <f t="shared" si="1"/>
        <v/>
      </c>
      <c r="C103" s="21"/>
      <c r="D103" s="21"/>
      <c r="E103" s="19"/>
      <c r="G103" s="16" t="str">
        <f>IF(BarriersTable[[#This Row],[PKStartValue]]="","",IF(C103="","",INT(C103/1000)&amp;"+"&amp;TEXT(MOD(C103,1000),"000.00")))</f>
        <v/>
      </c>
      <c r="H103" s="16" t="str">
        <f>IF(BarriersTable[[#This Row],[PKEndValue]]="","",IF(D103="","",INT(D103/1000)&amp;"+"&amp;TEXT(MOD(D103,1000),"000.00")))</f>
        <v/>
      </c>
      <c r="I103" t="str">
        <f>IF(F103="","",IFERROR(_xlfn.XLOOKUP(F103,TableLibraryBarriers[Type],TableLibraryBarriers[BarrierFamily]),""))</f>
        <v/>
      </c>
      <c r="J103" t="str">
        <f>IF(F103="","",IFERROR(_xlfn.XLOOKUP(F103,TableLibraryBarriers[Type],TableLibraryBarriers[BarrierType]),""))</f>
        <v/>
      </c>
      <c r="K103" t="str">
        <f>IF(F103="","",IFERROR(_xlfn.XLOOKUP(F103,TableLibraryBarriers[Type],TableLibraryBarriers[BlockLinear]),""))</f>
        <v/>
      </c>
      <c r="L103" t="str">
        <f>IF(F103="","",IFERROR(_xlfn.XLOOKUP(F103,TableLibraryBarriers[Type],TableLibraryBarriers[BlockPost]),""))</f>
        <v/>
      </c>
      <c r="M103" t="str">
        <f>IF(F103="","",IFERROR(_xlfn.XLOOKUP(F103,TableLibraryBarriers[Type],TableLibraryBarriers[IFCEntity]),""))</f>
        <v/>
      </c>
      <c r="N103" t="str">
        <f>IF(F103="","",IFERROR(_xlfn.XLOOKUP(F103,TableLibraryBarriers[Type],TableLibraryBarriers[Material]),""))</f>
        <v/>
      </c>
      <c r="O103" t="str">
        <f>IF(F103="","",IFERROR(_xlfn.XLOOKUP(F103,TableLibraryBarriers[Type],TableLibraryBarriers[PostSpacing]),""))</f>
        <v/>
      </c>
      <c r="P103" t="str">
        <f>IF(F103="","",IFERROR(_xlfn.XLOOKUP(F103,TableLibraryBarriers[Type],TableLibraryBarriers[ModuleLength]),""))</f>
        <v/>
      </c>
      <c r="Q103" t="str">
        <f>IF(F103="","",IFERROR(_xlfn.XLOOKUP(F103,TableLibraryBarriers[Type],TableLibraryBarriers[Height]),""))</f>
        <v/>
      </c>
      <c r="R103" t="str">
        <f>IF(F103="","",IFERROR(_xlfn.XLOOKUP(F103,TableLibraryBarriers[Type],TableLibraryBarriers[Width]),""))</f>
        <v/>
      </c>
      <c r="S103" t="str">
        <f>IF(F103="","",IFERROR(_xlfn.XLOOKUP(F103,TableLibraryBarriers[Type],TableLibraryBarriers[ContainmentLevel]),""))</f>
        <v/>
      </c>
      <c r="T103" t="str">
        <f>IF(F103="","",IFERROR(_xlfn.XLOOKUP(F103,TableLibraryBarriers[Type],TableLibraryBarriers[WorkingWidth]),""))</f>
        <v/>
      </c>
      <c r="U103" t="str">
        <f>IF(F103="","",IFERROR(_xlfn.XLOOKUP(F103,TableLibraryBarriers[Type],TableLibraryBarriers[Layer]),""))</f>
        <v/>
      </c>
      <c r="V103" t="str">
        <f>IF(F103="","",IFERROR(_xlfn.XLOOKUP(F103,TableLibraryBarriers[Type],TableLibraryBarriers[TimeUnitLength(h)]),""))</f>
        <v/>
      </c>
      <c r="W103" t="str">
        <f>IF(F103="","",IFERROR(_xlfn.XLOOKUP(F103,TableLibraryBarriers[Type],TableLibraryBarriers[CostUnitLength]),""))</f>
        <v/>
      </c>
      <c r="X103" t="str">
        <f>IF(F103="","",IFERROR(_xlfn.XLOOKUP(F103,TableLibraryBarriers[Type],TableLibraryBarriers[Notes]),""))</f>
        <v/>
      </c>
      <c r="Y103" s="19"/>
      <c r="Z103" s="19"/>
    </row>
    <row r="104" spans="1:26">
      <c r="A104" t="str">
        <f t="shared" si="1"/>
        <v/>
      </c>
      <c r="C104" s="21"/>
      <c r="D104" s="21"/>
      <c r="E104" s="19"/>
      <c r="G104" s="16" t="str">
        <f>IF(BarriersTable[[#This Row],[PKStartValue]]="","",IF(C104="","",INT(C104/1000)&amp;"+"&amp;TEXT(MOD(C104,1000),"000.00")))</f>
        <v/>
      </c>
      <c r="H104" s="16" t="str">
        <f>IF(BarriersTable[[#This Row],[PKEndValue]]="","",IF(D104="","",INT(D104/1000)&amp;"+"&amp;TEXT(MOD(D104,1000),"000.00")))</f>
        <v/>
      </c>
      <c r="I104" t="str">
        <f>IF(F104="","",IFERROR(_xlfn.XLOOKUP(F104,TableLibraryBarriers[Type],TableLibraryBarriers[BarrierFamily]),""))</f>
        <v/>
      </c>
      <c r="J104" t="str">
        <f>IF(F104="","",IFERROR(_xlfn.XLOOKUP(F104,TableLibraryBarriers[Type],TableLibraryBarriers[BarrierType]),""))</f>
        <v/>
      </c>
      <c r="K104" t="str">
        <f>IF(F104="","",IFERROR(_xlfn.XLOOKUP(F104,TableLibraryBarriers[Type],TableLibraryBarriers[BlockLinear]),""))</f>
        <v/>
      </c>
      <c r="L104" t="str">
        <f>IF(F104="","",IFERROR(_xlfn.XLOOKUP(F104,TableLibraryBarriers[Type],TableLibraryBarriers[BlockPost]),""))</f>
        <v/>
      </c>
      <c r="M104" t="str">
        <f>IF(F104="","",IFERROR(_xlfn.XLOOKUP(F104,TableLibraryBarriers[Type],TableLibraryBarriers[IFCEntity]),""))</f>
        <v/>
      </c>
      <c r="N104" t="str">
        <f>IF(F104="","",IFERROR(_xlfn.XLOOKUP(F104,TableLibraryBarriers[Type],TableLibraryBarriers[Material]),""))</f>
        <v/>
      </c>
      <c r="O104" t="str">
        <f>IF(F104="","",IFERROR(_xlfn.XLOOKUP(F104,TableLibraryBarriers[Type],TableLibraryBarriers[PostSpacing]),""))</f>
        <v/>
      </c>
      <c r="P104" t="str">
        <f>IF(F104="","",IFERROR(_xlfn.XLOOKUP(F104,TableLibraryBarriers[Type],TableLibraryBarriers[ModuleLength]),""))</f>
        <v/>
      </c>
      <c r="Q104" t="str">
        <f>IF(F104="","",IFERROR(_xlfn.XLOOKUP(F104,TableLibraryBarriers[Type],TableLibraryBarriers[Height]),""))</f>
        <v/>
      </c>
      <c r="R104" t="str">
        <f>IF(F104="","",IFERROR(_xlfn.XLOOKUP(F104,TableLibraryBarriers[Type],TableLibraryBarriers[Width]),""))</f>
        <v/>
      </c>
      <c r="S104" t="str">
        <f>IF(F104="","",IFERROR(_xlfn.XLOOKUP(F104,TableLibraryBarriers[Type],TableLibraryBarriers[ContainmentLevel]),""))</f>
        <v/>
      </c>
      <c r="T104" t="str">
        <f>IF(F104="","",IFERROR(_xlfn.XLOOKUP(F104,TableLibraryBarriers[Type],TableLibraryBarriers[WorkingWidth]),""))</f>
        <v/>
      </c>
      <c r="U104" t="str">
        <f>IF(F104="","",IFERROR(_xlfn.XLOOKUP(F104,TableLibraryBarriers[Type],TableLibraryBarriers[Layer]),""))</f>
        <v/>
      </c>
      <c r="V104" t="str">
        <f>IF(F104="","",IFERROR(_xlfn.XLOOKUP(F104,TableLibraryBarriers[Type],TableLibraryBarriers[TimeUnitLength(h)]),""))</f>
        <v/>
      </c>
      <c r="W104" t="str">
        <f>IF(F104="","",IFERROR(_xlfn.XLOOKUP(F104,TableLibraryBarriers[Type],TableLibraryBarriers[CostUnitLength]),""))</f>
        <v/>
      </c>
      <c r="X104" t="str">
        <f>IF(F104="","",IFERROR(_xlfn.XLOOKUP(F104,TableLibraryBarriers[Type],TableLibraryBarriers[Notes]),""))</f>
        <v/>
      </c>
      <c r="Y104" s="19"/>
      <c r="Z104" s="19"/>
    </row>
    <row r="105" spans="1:26">
      <c r="A105" t="str">
        <f t="shared" si="1"/>
        <v/>
      </c>
      <c r="C105" s="21"/>
      <c r="D105" s="21"/>
      <c r="E105" s="19"/>
      <c r="G105" s="16" t="str">
        <f>IF(BarriersTable[[#This Row],[PKStartValue]]="","",IF(C105="","",INT(C105/1000)&amp;"+"&amp;TEXT(MOD(C105,1000),"000.00")))</f>
        <v/>
      </c>
      <c r="H105" s="16" t="str">
        <f>IF(BarriersTable[[#This Row],[PKEndValue]]="","",IF(D105="","",INT(D105/1000)&amp;"+"&amp;TEXT(MOD(D105,1000),"000.00")))</f>
        <v/>
      </c>
      <c r="I105" t="str">
        <f>IF(F105="","",IFERROR(_xlfn.XLOOKUP(F105,TableLibraryBarriers[Type],TableLibraryBarriers[BarrierFamily]),""))</f>
        <v/>
      </c>
      <c r="J105" t="str">
        <f>IF(F105="","",IFERROR(_xlfn.XLOOKUP(F105,TableLibraryBarriers[Type],TableLibraryBarriers[BarrierType]),""))</f>
        <v/>
      </c>
      <c r="K105" t="str">
        <f>IF(F105="","",IFERROR(_xlfn.XLOOKUP(F105,TableLibraryBarriers[Type],TableLibraryBarriers[BlockLinear]),""))</f>
        <v/>
      </c>
      <c r="L105" t="str">
        <f>IF(F105="","",IFERROR(_xlfn.XLOOKUP(F105,TableLibraryBarriers[Type],TableLibraryBarriers[BlockPost]),""))</f>
        <v/>
      </c>
      <c r="M105" t="str">
        <f>IF(F105="","",IFERROR(_xlfn.XLOOKUP(F105,TableLibraryBarriers[Type],TableLibraryBarriers[IFCEntity]),""))</f>
        <v/>
      </c>
      <c r="N105" t="str">
        <f>IF(F105="","",IFERROR(_xlfn.XLOOKUP(F105,TableLibraryBarriers[Type],TableLibraryBarriers[Material]),""))</f>
        <v/>
      </c>
      <c r="O105" t="str">
        <f>IF(F105="","",IFERROR(_xlfn.XLOOKUP(F105,TableLibraryBarriers[Type],TableLibraryBarriers[PostSpacing]),""))</f>
        <v/>
      </c>
      <c r="P105" t="str">
        <f>IF(F105="","",IFERROR(_xlfn.XLOOKUP(F105,TableLibraryBarriers[Type],TableLibraryBarriers[ModuleLength]),""))</f>
        <v/>
      </c>
      <c r="Q105" t="str">
        <f>IF(F105="","",IFERROR(_xlfn.XLOOKUP(F105,TableLibraryBarriers[Type],TableLibraryBarriers[Height]),""))</f>
        <v/>
      </c>
      <c r="R105" t="str">
        <f>IF(F105="","",IFERROR(_xlfn.XLOOKUP(F105,TableLibraryBarriers[Type],TableLibraryBarriers[Width]),""))</f>
        <v/>
      </c>
      <c r="S105" t="str">
        <f>IF(F105="","",IFERROR(_xlfn.XLOOKUP(F105,TableLibraryBarriers[Type],TableLibraryBarriers[ContainmentLevel]),""))</f>
        <v/>
      </c>
      <c r="T105" t="str">
        <f>IF(F105="","",IFERROR(_xlfn.XLOOKUP(F105,TableLibraryBarriers[Type],TableLibraryBarriers[WorkingWidth]),""))</f>
        <v/>
      </c>
      <c r="U105" t="str">
        <f>IF(F105="","",IFERROR(_xlfn.XLOOKUP(F105,TableLibraryBarriers[Type],TableLibraryBarriers[Layer]),""))</f>
        <v/>
      </c>
      <c r="V105" t="str">
        <f>IF(F105="","",IFERROR(_xlfn.XLOOKUP(F105,TableLibraryBarriers[Type],TableLibraryBarriers[TimeUnitLength(h)]),""))</f>
        <v/>
      </c>
      <c r="W105" t="str">
        <f>IF(F105="","",IFERROR(_xlfn.XLOOKUP(F105,TableLibraryBarriers[Type],TableLibraryBarriers[CostUnitLength]),""))</f>
        <v/>
      </c>
      <c r="X105" t="str">
        <f>IF(F105="","",IFERROR(_xlfn.XLOOKUP(F105,TableLibraryBarriers[Type],TableLibraryBarriers[Notes]),""))</f>
        <v/>
      </c>
      <c r="Y105" s="19"/>
      <c r="Z105" s="19"/>
    </row>
    <row r="106" spans="1:26">
      <c r="A106" t="str">
        <f t="shared" si="1"/>
        <v/>
      </c>
      <c r="C106" s="21"/>
      <c r="D106" s="21"/>
      <c r="E106" s="19"/>
      <c r="G106" s="16" t="str">
        <f>IF(BarriersTable[[#This Row],[PKStartValue]]="","",IF(C106="","",INT(C106/1000)&amp;"+"&amp;TEXT(MOD(C106,1000),"000.00")))</f>
        <v/>
      </c>
      <c r="H106" s="16" t="str">
        <f>IF(BarriersTable[[#This Row],[PKEndValue]]="","",IF(D106="","",INT(D106/1000)&amp;"+"&amp;TEXT(MOD(D106,1000),"000.00")))</f>
        <v/>
      </c>
      <c r="I106" t="str">
        <f>IF(F106="","",IFERROR(_xlfn.XLOOKUP(F106,TableLibraryBarriers[Type],TableLibraryBarriers[BarrierFamily]),""))</f>
        <v/>
      </c>
      <c r="J106" t="str">
        <f>IF(F106="","",IFERROR(_xlfn.XLOOKUP(F106,TableLibraryBarriers[Type],TableLibraryBarriers[BarrierType]),""))</f>
        <v/>
      </c>
      <c r="K106" t="str">
        <f>IF(F106="","",IFERROR(_xlfn.XLOOKUP(F106,TableLibraryBarriers[Type],TableLibraryBarriers[BlockLinear]),""))</f>
        <v/>
      </c>
      <c r="L106" t="str">
        <f>IF(F106="","",IFERROR(_xlfn.XLOOKUP(F106,TableLibraryBarriers[Type],TableLibraryBarriers[BlockPost]),""))</f>
        <v/>
      </c>
      <c r="M106" t="str">
        <f>IF(F106="","",IFERROR(_xlfn.XLOOKUP(F106,TableLibraryBarriers[Type],TableLibraryBarriers[IFCEntity]),""))</f>
        <v/>
      </c>
      <c r="N106" t="str">
        <f>IF(F106="","",IFERROR(_xlfn.XLOOKUP(F106,TableLibraryBarriers[Type],TableLibraryBarriers[Material]),""))</f>
        <v/>
      </c>
      <c r="O106" t="str">
        <f>IF(F106="","",IFERROR(_xlfn.XLOOKUP(F106,TableLibraryBarriers[Type],TableLibraryBarriers[PostSpacing]),""))</f>
        <v/>
      </c>
      <c r="P106" t="str">
        <f>IF(F106="","",IFERROR(_xlfn.XLOOKUP(F106,TableLibraryBarriers[Type],TableLibraryBarriers[ModuleLength]),""))</f>
        <v/>
      </c>
      <c r="Q106" t="str">
        <f>IF(F106="","",IFERROR(_xlfn.XLOOKUP(F106,TableLibraryBarriers[Type],TableLibraryBarriers[Height]),""))</f>
        <v/>
      </c>
      <c r="R106" t="str">
        <f>IF(F106="","",IFERROR(_xlfn.XLOOKUP(F106,TableLibraryBarriers[Type],TableLibraryBarriers[Width]),""))</f>
        <v/>
      </c>
      <c r="S106" t="str">
        <f>IF(F106="","",IFERROR(_xlfn.XLOOKUP(F106,TableLibraryBarriers[Type],TableLibraryBarriers[ContainmentLevel]),""))</f>
        <v/>
      </c>
      <c r="T106" t="str">
        <f>IF(F106="","",IFERROR(_xlfn.XLOOKUP(F106,TableLibraryBarriers[Type],TableLibraryBarriers[WorkingWidth]),""))</f>
        <v/>
      </c>
      <c r="U106" t="str">
        <f>IF(F106="","",IFERROR(_xlfn.XLOOKUP(F106,TableLibraryBarriers[Type],TableLibraryBarriers[Layer]),""))</f>
        <v/>
      </c>
      <c r="V106" t="str">
        <f>IF(F106="","",IFERROR(_xlfn.XLOOKUP(F106,TableLibraryBarriers[Type],TableLibraryBarriers[TimeUnitLength(h)]),""))</f>
        <v/>
      </c>
      <c r="W106" t="str">
        <f>IF(F106="","",IFERROR(_xlfn.XLOOKUP(F106,TableLibraryBarriers[Type],TableLibraryBarriers[CostUnitLength]),""))</f>
        <v/>
      </c>
      <c r="X106" t="str">
        <f>IF(F106="","",IFERROR(_xlfn.XLOOKUP(F106,TableLibraryBarriers[Type],TableLibraryBarriers[Notes]),""))</f>
        <v/>
      </c>
      <c r="Y106" s="19"/>
      <c r="Z106" s="19"/>
    </row>
    <row r="107" spans="1:26">
      <c r="A107" t="str">
        <f t="shared" si="1"/>
        <v/>
      </c>
      <c r="C107" s="21"/>
      <c r="D107" s="21"/>
      <c r="E107" s="19"/>
      <c r="G107" s="16" t="str">
        <f>IF(BarriersTable[[#This Row],[PKStartValue]]="","",IF(C107="","",INT(C107/1000)&amp;"+"&amp;TEXT(MOD(C107,1000),"000.00")))</f>
        <v/>
      </c>
      <c r="H107" s="16" t="str">
        <f>IF(BarriersTable[[#This Row],[PKEndValue]]="","",IF(D107="","",INT(D107/1000)&amp;"+"&amp;TEXT(MOD(D107,1000),"000.00")))</f>
        <v/>
      </c>
      <c r="I107" t="str">
        <f>IF(F107="","",IFERROR(_xlfn.XLOOKUP(F107,TableLibraryBarriers[Type],TableLibraryBarriers[BarrierFamily]),""))</f>
        <v/>
      </c>
      <c r="J107" t="str">
        <f>IF(F107="","",IFERROR(_xlfn.XLOOKUP(F107,TableLibraryBarriers[Type],TableLibraryBarriers[BarrierType]),""))</f>
        <v/>
      </c>
      <c r="K107" t="str">
        <f>IF(F107="","",IFERROR(_xlfn.XLOOKUP(F107,TableLibraryBarriers[Type],TableLibraryBarriers[BlockLinear]),""))</f>
        <v/>
      </c>
      <c r="L107" t="str">
        <f>IF(F107="","",IFERROR(_xlfn.XLOOKUP(F107,TableLibraryBarriers[Type],TableLibraryBarriers[BlockPost]),""))</f>
        <v/>
      </c>
      <c r="M107" t="str">
        <f>IF(F107="","",IFERROR(_xlfn.XLOOKUP(F107,TableLibraryBarriers[Type],TableLibraryBarriers[IFCEntity]),""))</f>
        <v/>
      </c>
      <c r="N107" t="str">
        <f>IF(F107="","",IFERROR(_xlfn.XLOOKUP(F107,TableLibraryBarriers[Type],TableLibraryBarriers[Material]),""))</f>
        <v/>
      </c>
      <c r="O107" t="str">
        <f>IF(F107="","",IFERROR(_xlfn.XLOOKUP(F107,TableLibraryBarriers[Type],TableLibraryBarriers[PostSpacing]),""))</f>
        <v/>
      </c>
      <c r="P107" t="str">
        <f>IF(F107="","",IFERROR(_xlfn.XLOOKUP(F107,TableLibraryBarriers[Type],TableLibraryBarriers[ModuleLength]),""))</f>
        <v/>
      </c>
      <c r="Q107" t="str">
        <f>IF(F107="","",IFERROR(_xlfn.XLOOKUP(F107,TableLibraryBarriers[Type],TableLibraryBarriers[Height]),""))</f>
        <v/>
      </c>
      <c r="R107" t="str">
        <f>IF(F107="","",IFERROR(_xlfn.XLOOKUP(F107,TableLibraryBarriers[Type],TableLibraryBarriers[Width]),""))</f>
        <v/>
      </c>
      <c r="S107" t="str">
        <f>IF(F107="","",IFERROR(_xlfn.XLOOKUP(F107,TableLibraryBarriers[Type],TableLibraryBarriers[ContainmentLevel]),""))</f>
        <v/>
      </c>
      <c r="T107" t="str">
        <f>IF(F107="","",IFERROR(_xlfn.XLOOKUP(F107,TableLibraryBarriers[Type],TableLibraryBarriers[WorkingWidth]),""))</f>
        <v/>
      </c>
      <c r="U107" t="str">
        <f>IF(F107="","",IFERROR(_xlfn.XLOOKUP(F107,TableLibraryBarriers[Type],TableLibraryBarriers[Layer]),""))</f>
        <v/>
      </c>
      <c r="V107" t="str">
        <f>IF(F107="","",IFERROR(_xlfn.XLOOKUP(F107,TableLibraryBarriers[Type],TableLibraryBarriers[TimeUnitLength(h)]),""))</f>
        <v/>
      </c>
      <c r="W107" t="str">
        <f>IF(F107="","",IFERROR(_xlfn.XLOOKUP(F107,TableLibraryBarriers[Type],TableLibraryBarriers[CostUnitLength]),""))</f>
        <v/>
      </c>
      <c r="X107" t="str">
        <f>IF(F107="","",IFERROR(_xlfn.XLOOKUP(F107,TableLibraryBarriers[Type],TableLibraryBarriers[Notes]),""))</f>
        <v/>
      </c>
      <c r="Y107" s="19"/>
      <c r="Z107" s="19"/>
    </row>
    <row r="108" spans="1:26">
      <c r="A108" t="str">
        <f t="shared" si="1"/>
        <v/>
      </c>
      <c r="C108" s="21"/>
      <c r="D108" s="21"/>
      <c r="E108" s="19"/>
      <c r="G108" s="16" t="str">
        <f>IF(BarriersTable[[#This Row],[PKStartValue]]="","",IF(C108="","",INT(C108/1000)&amp;"+"&amp;TEXT(MOD(C108,1000),"000.00")))</f>
        <v/>
      </c>
      <c r="H108" s="16" t="str">
        <f>IF(BarriersTable[[#This Row],[PKEndValue]]="","",IF(D108="","",INT(D108/1000)&amp;"+"&amp;TEXT(MOD(D108,1000),"000.00")))</f>
        <v/>
      </c>
      <c r="I108" t="str">
        <f>IF(F108="","",IFERROR(_xlfn.XLOOKUP(F108,TableLibraryBarriers[Type],TableLibraryBarriers[BarrierFamily]),""))</f>
        <v/>
      </c>
      <c r="J108" t="str">
        <f>IF(F108="","",IFERROR(_xlfn.XLOOKUP(F108,TableLibraryBarriers[Type],TableLibraryBarriers[BarrierType]),""))</f>
        <v/>
      </c>
      <c r="K108" t="str">
        <f>IF(F108="","",IFERROR(_xlfn.XLOOKUP(F108,TableLibraryBarriers[Type],TableLibraryBarriers[BlockLinear]),""))</f>
        <v/>
      </c>
      <c r="L108" t="str">
        <f>IF(F108="","",IFERROR(_xlfn.XLOOKUP(F108,TableLibraryBarriers[Type],TableLibraryBarriers[BlockPost]),""))</f>
        <v/>
      </c>
      <c r="M108" t="str">
        <f>IF(F108="","",IFERROR(_xlfn.XLOOKUP(F108,TableLibraryBarriers[Type],TableLibraryBarriers[IFCEntity]),""))</f>
        <v/>
      </c>
      <c r="N108" t="str">
        <f>IF(F108="","",IFERROR(_xlfn.XLOOKUP(F108,TableLibraryBarriers[Type],TableLibraryBarriers[Material]),""))</f>
        <v/>
      </c>
      <c r="O108" t="str">
        <f>IF(F108="","",IFERROR(_xlfn.XLOOKUP(F108,TableLibraryBarriers[Type],TableLibraryBarriers[PostSpacing]),""))</f>
        <v/>
      </c>
      <c r="P108" t="str">
        <f>IF(F108="","",IFERROR(_xlfn.XLOOKUP(F108,TableLibraryBarriers[Type],TableLibraryBarriers[ModuleLength]),""))</f>
        <v/>
      </c>
      <c r="Q108" t="str">
        <f>IF(F108="","",IFERROR(_xlfn.XLOOKUP(F108,TableLibraryBarriers[Type],TableLibraryBarriers[Height]),""))</f>
        <v/>
      </c>
      <c r="R108" t="str">
        <f>IF(F108="","",IFERROR(_xlfn.XLOOKUP(F108,TableLibraryBarriers[Type],TableLibraryBarriers[Width]),""))</f>
        <v/>
      </c>
      <c r="S108" t="str">
        <f>IF(F108="","",IFERROR(_xlfn.XLOOKUP(F108,TableLibraryBarriers[Type],TableLibraryBarriers[ContainmentLevel]),""))</f>
        <v/>
      </c>
      <c r="T108" t="str">
        <f>IF(F108="","",IFERROR(_xlfn.XLOOKUP(F108,TableLibraryBarriers[Type],TableLibraryBarriers[WorkingWidth]),""))</f>
        <v/>
      </c>
      <c r="U108" t="str">
        <f>IF(F108="","",IFERROR(_xlfn.XLOOKUP(F108,TableLibraryBarriers[Type],TableLibraryBarriers[Layer]),""))</f>
        <v/>
      </c>
      <c r="V108" t="str">
        <f>IF(F108="","",IFERROR(_xlfn.XLOOKUP(F108,TableLibraryBarriers[Type],TableLibraryBarriers[TimeUnitLength(h)]),""))</f>
        <v/>
      </c>
      <c r="W108" t="str">
        <f>IF(F108="","",IFERROR(_xlfn.XLOOKUP(F108,TableLibraryBarriers[Type],TableLibraryBarriers[CostUnitLength]),""))</f>
        <v/>
      </c>
      <c r="X108" t="str">
        <f>IF(F108="","",IFERROR(_xlfn.XLOOKUP(F108,TableLibraryBarriers[Type],TableLibraryBarriers[Notes]),""))</f>
        <v/>
      </c>
      <c r="Y108" s="19"/>
      <c r="Z108" s="19"/>
    </row>
    <row r="109" spans="1:26">
      <c r="A109" t="str">
        <f t="shared" si="1"/>
        <v/>
      </c>
      <c r="C109" s="21"/>
      <c r="D109" s="21"/>
      <c r="E109" s="19"/>
      <c r="G109" s="16" t="str">
        <f>IF(BarriersTable[[#This Row],[PKStartValue]]="","",IF(C109="","",INT(C109/1000)&amp;"+"&amp;TEXT(MOD(C109,1000),"000.00")))</f>
        <v/>
      </c>
      <c r="H109" s="16" t="str">
        <f>IF(BarriersTable[[#This Row],[PKEndValue]]="","",IF(D109="","",INT(D109/1000)&amp;"+"&amp;TEXT(MOD(D109,1000),"000.00")))</f>
        <v/>
      </c>
      <c r="I109" t="str">
        <f>IF(F109="","",IFERROR(_xlfn.XLOOKUP(F109,TableLibraryBarriers[Type],TableLibraryBarriers[BarrierFamily]),""))</f>
        <v/>
      </c>
      <c r="J109" t="str">
        <f>IF(F109="","",IFERROR(_xlfn.XLOOKUP(F109,TableLibraryBarriers[Type],TableLibraryBarriers[BarrierType]),""))</f>
        <v/>
      </c>
      <c r="K109" t="str">
        <f>IF(F109="","",IFERROR(_xlfn.XLOOKUP(F109,TableLibraryBarriers[Type],TableLibraryBarriers[BlockLinear]),""))</f>
        <v/>
      </c>
      <c r="L109" t="str">
        <f>IF(F109="","",IFERROR(_xlfn.XLOOKUP(F109,TableLibraryBarriers[Type],TableLibraryBarriers[BlockPost]),""))</f>
        <v/>
      </c>
      <c r="M109" t="str">
        <f>IF(F109="","",IFERROR(_xlfn.XLOOKUP(F109,TableLibraryBarriers[Type],TableLibraryBarriers[IFCEntity]),""))</f>
        <v/>
      </c>
      <c r="N109" t="str">
        <f>IF(F109="","",IFERROR(_xlfn.XLOOKUP(F109,TableLibraryBarriers[Type],TableLibraryBarriers[Material]),""))</f>
        <v/>
      </c>
      <c r="O109" t="str">
        <f>IF(F109="","",IFERROR(_xlfn.XLOOKUP(F109,TableLibraryBarriers[Type],TableLibraryBarriers[PostSpacing]),""))</f>
        <v/>
      </c>
      <c r="P109" t="str">
        <f>IF(F109="","",IFERROR(_xlfn.XLOOKUP(F109,TableLibraryBarriers[Type],TableLibraryBarriers[ModuleLength]),""))</f>
        <v/>
      </c>
      <c r="Q109" t="str">
        <f>IF(F109="","",IFERROR(_xlfn.XLOOKUP(F109,TableLibraryBarriers[Type],TableLibraryBarriers[Height]),""))</f>
        <v/>
      </c>
      <c r="R109" t="str">
        <f>IF(F109="","",IFERROR(_xlfn.XLOOKUP(F109,TableLibraryBarriers[Type],TableLibraryBarriers[Width]),""))</f>
        <v/>
      </c>
      <c r="S109" t="str">
        <f>IF(F109="","",IFERROR(_xlfn.XLOOKUP(F109,TableLibraryBarriers[Type],TableLibraryBarriers[ContainmentLevel]),""))</f>
        <v/>
      </c>
      <c r="T109" t="str">
        <f>IF(F109="","",IFERROR(_xlfn.XLOOKUP(F109,TableLibraryBarriers[Type],TableLibraryBarriers[WorkingWidth]),""))</f>
        <v/>
      </c>
      <c r="U109" t="str">
        <f>IF(F109="","",IFERROR(_xlfn.XLOOKUP(F109,TableLibraryBarriers[Type],TableLibraryBarriers[Layer]),""))</f>
        <v/>
      </c>
      <c r="V109" t="str">
        <f>IF(F109="","",IFERROR(_xlfn.XLOOKUP(F109,TableLibraryBarriers[Type],TableLibraryBarriers[TimeUnitLength(h)]),""))</f>
        <v/>
      </c>
      <c r="W109" t="str">
        <f>IF(F109="","",IFERROR(_xlfn.XLOOKUP(F109,TableLibraryBarriers[Type],TableLibraryBarriers[CostUnitLength]),""))</f>
        <v/>
      </c>
      <c r="X109" t="str">
        <f>IF(F109="","",IFERROR(_xlfn.XLOOKUP(F109,TableLibraryBarriers[Type],TableLibraryBarriers[Notes]),""))</f>
        <v/>
      </c>
      <c r="Y109" s="19"/>
      <c r="Z109" s="19"/>
    </row>
    <row r="110" spans="1:26">
      <c r="A110" t="str">
        <f t="shared" si="1"/>
        <v/>
      </c>
      <c r="C110" s="21"/>
      <c r="D110" s="21"/>
      <c r="E110" s="19"/>
      <c r="G110" s="16" t="str">
        <f>IF(BarriersTable[[#This Row],[PKStartValue]]="","",IF(C110="","",INT(C110/1000)&amp;"+"&amp;TEXT(MOD(C110,1000),"000.00")))</f>
        <v/>
      </c>
      <c r="H110" s="16" t="str">
        <f>IF(BarriersTable[[#This Row],[PKEndValue]]="","",IF(D110="","",INT(D110/1000)&amp;"+"&amp;TEXT(MOD(D110,1000),"000.00")))</f>
        <v/>
      </c>
      <c r="I110" t="str">
        <f>IF(F110="","",IFERROR(_xlfn.XLOOKUP(F110,TableLibraryBarriers[Type],TableLibraryBarriers[BarrierFamily]),""))</f>
        <v/>
      </c>
      <c r="J110" t="str">
        <f>IF(F110="","",IFERROR(_xlfn.XLOOKUP(F110,TableLibraryBarriers[Type],TableLibraryBarriers[BarrierType]),""))</f>
        <v/>
      </c>
      <c r="K110" t="str">
        <f>IF(F110="","",IFERROR(_xlfn.XLOOKUP(F110,TableLibraryBarriers[Type],TableLibraryBarriers[BlockLinear]),""))</f>
        <v/>
      </c>
      <c r="L110" t="str">
        <f>IF(F110="","",IFERROR(_xlfn.XLOOKUP(F110,TableLibraryBarriers[Type],TableLibraryBarriers[BlockPost]),""))</f>
        <v/>
      </c>
      <c r="M110" t="str">
        <f>IF(F110="","",IFERROR(_xlfn.XLOOKUP(F110,TableLibraryBarriers[Type],TableLibraryBarriers[IFCEntity]),""))</f>
        <v/>
      </c>
      <c r="N110" t="str">
        <f>IF(F110="","",IFERROR(_xlfn.XLOOKUP(F110,TableLibraryBarriers[Type],TableLibraryBarriers[Material]),""))</f>
        <v/>
      </c>
      <c r="O110" t="str">
        <f>IF(F110="","",IFERROR(_xlfn.XLOOKUP(F110,TableLibraryBarriers[Type],TableLibraryBarriers[PostSpacing]),""))</f>
        <v/>
      </c>
      <c r="P110" t="str">
        <f>IF(F110="","",IFERROR(_xlfn.XLOOKUP(F110,TableLibraryBarriers[Type],TableLibraryBarriers[ModuleLength]),""))</f>
        <v/>
      </c>
      <c r="Q110" t="str">
        <f>IF(F110="","",IFERROR(_xlfn.XLOOKUP(F110,TableLibraryBarriers[Type],TableLibraryBarriers[Height]),""))</f>
        <v/>
      </c>
      <c r="R110" t="str">
        <f>IF(F110="","",IFERROR(_xlfn.XLOOKUP(F110,TableLibraryBarriers[Type],TableLibraryBarriers[Width]),""))</f>
        <v/>
      </c>
      <c r="S110" t="str">
        <f>IF(F110="","",IFERROR(_xlfn.XLOOKUP(F110,TableLibraryBarriers[Type],TableLibraryBarriers[ContainmentLevel]),""))</f>
        <v/>
      </c>
      <c r="T110" t="str">
        <f>IF(F110="","",IFERROR(_xlfn.XLOOKUP(F110,TableLibraryBarriers[Type],TableLibraryBarriers[WorkingWidth]),""))</f>
        <v/>
      </c>
      <c r="U110" t="str">
        <f>IF(F110="","",IFERROR(_xlfn.XLOOKUP(F110,TableLibraryBarriers[Type],TableLibraryBarriers[Layer]),""))</f>
        <v/>
      </c>
      <c r="V110" t="str">
        <f>IF(F110="","",IFERROR(_xlfn.XLOOKUP(F110,TableLibraryBarriers[Type],TableLibraryBarriers[TimeUnitLength(h)]),""))</f>
        <v/>
      </c>
      <c r="W110" t="str">
        <f>IF(F110="","",IFERROR(_xlfn.XLOOKUP(F110,TableLibraryBarriers[Type],TableLibraryBarriers[CostUnitLength]),""))</f>
        <v/>
      </c>
      <c r="X110" t="str">
        <f>IF(F110="","",IFERROR(_xlfn.XLOOKUP(F110,TableLibraryBarriers[Type],TableLibraryBarriers[Notes]),""))</f>
        <v/>
      </c>
      <c r="Y110" s="19"/>
      <c r="Z110" s="19"/>
    </row>
    <row r="111" spans="1:26">
      <c r="A111" t="str">
        <f t="shared" si="1"/>
        <v/>
      </c>
      <c r="C111" s="21"/>
      <c r="D111" s="21"/>
      <c r="E111" s="19"/>
      <c r="G111" s="16" t="str">
        <f>IF(BarriersTable[[#This Row],[PKStartValue]]="","",IF(C111="","",INT(C111/1000)&amp;"+"&amp;TEXT(MOD(C111,1000),"000.00")))</f>
        <v/>
      </c>
      <c r="H111" s="16" t="str">
        <f>IF(BarriersTable[[#This Row],[PKEndValue]]="","",IF(D111="","",INT(D111/1000)&amp;"+"&amp;TEXT(MOD(D111,1000),"000.00")))</f>
        <v/>
      </c>
      <c r="I111" t="str">
        <f>IF(F111="","",IFERROR(_xlfn.XLOOKUP(F111,TableLibraryBarriers[Type],TableLibraryBarriers[BarrierFamily]),""))</f>
        <v/>
      </c>
      <c r="J111" t="str">
        <f>IF(F111="","",IFERROR(_xlfn.XLOOKUP(F111,TableLibraryBarriers[Type],TableLibraryBarriers[BarrierType]),""))</f>
        <v/>
      </c>
      <c r="K111" t="str">
        <f>IF(F111="","",IFERROR(_xlfn.XLOOKUP(F111,TableLibraryBarriers[Type],TableLibraryBarriers[BlockLinear]),""))</f>
        <v/>
      </c>
      <c r="L111" t="str">
        <f>IF(F111="","",IFERROR(_xlfn.XLOOKUP(F111,TableLibraryBarriers[Type],TableLibraryBarriers[BlockPost]),""))</f>
        <v/>
      </c>
      <c r="M111" t="str">
        <f>IF(F111="","",IFERROR(_xlfn.XLOOKUP(F111,TableLibraryBarriers[Type],TableLibraryBarriers[IFCEntity]),""))</f>
        <v/>
      </c>
      <c r="N111" t="str">
        <f>IF(F111="","",IFERROR(_xlfn.XLOOKUP(F111,TableLibraryBarriers[Type],TableLibraryBarriers[Material]),""))</f>
        <v/>
      </c>
      <c r="O111" t="str">
        <f>IF(F111="","",IFERROR(_xlfn.XLOOKUP(F111,TableLibraryBarriers[Type],TableLibraryBarriers[PostSpacing]),""))</f>
        <v/>
      </c>
      <c r="P111" t="str">
        <f>IF(F111="","",IFERROR(_xlfn.XLOOKUP(F111,TableLibraryBarriers[Type],TableLibraryBarriers[ModuleLength]),""))</f>
        <v/>
      </c>
      <c r="Q111" t="str">
        <f>IF(F111="","",IFERROR(_xlfn.XLOOKUP(F111,TableLibraryBarriers[Type],TableLibraryBarriers[Height]),""))</f>
        <v/>
      </c>
      <c r="R111" t="str">
        <f>IF(F111="","",IFERROR(_xlfn.XLOOKUP(F111,TableLibraryBarriers[Type],TableLibraryBarriers[Width]),""))</f>
        <v/>
      </c>
      <c r="S111" t="str">
        <f>IF(F111="","",IFERROR(_xlfn.XLOOKUP(F111,TableLibraryBarriers[Type],TableLibraryBarriers[ContainmentLevel]),""))</f>
        <v/>
      </c>
      <c r="T111" t="str">
        <f>IF(F111="","",IFERROR(_xlfn.XLOOKUP(F111,TableLibraryBarriers[Type],TableLibraryBarriers[WorkingWidth]),""))</f>
        <v/>
      </c>
      <c r="U111" t="str">
        <f>IF(F111="","",IFERROR(_xlfn.XLOOKUP(F111,TableLibraryBarriers[Type],TableLibraryBarriers[Layer]),""))</f>
        <v/>
      </c>
      <c r="V111" t="str">
        <f>IF(F111="","",IFERROR(_xlfn.XLOOKUP(F111,TableLibraryBarriers[Type],TableLibraryBarriers[TimeUnitLength(h)]),""))</f>
        <v/>
      </c>
      <c r="W111" t="str">
        <f>IF(F111="","",IFERROR(_xlfn.XLOOKUP(F111,TableLibraryBarriers[Type],TableLibraryBarriers[CostUnitLength]),""))</f>
        <v/>
      </c>
      <c r="X111" t="str">
        <f>IF(F111="","",IFERROR(_xlfn.XLOOKUP(F111,TableLibraryBarriers[Type],TableLibraryBarriers[Notes]),""))</f>
        <v/>
      </c>
      <c r="Y111" s="19"/>
      <c r="Z111" s="19"/>
    </row>
    <row r="112" spans="1:26">
      <c r="A112" t="str">
        <f t="shared" si="1"/>
        <v/>
      </c>
      <c r="C112" s="21"/>
      <c r="D112" s="21"/>
      <c r="E112" s="19"/>
      <c r="G112" s="16" t="str">
        <f>IF(BarriersTable[[#This Row],[PKStartValue]]="","",IF(C112="","",INT(C112/1000)&amp;"+"&amp;TEXT(MOD(C112,1000),"000.00")))</f>
        <v/>
      </c>
      <c r="H112" s="16" t="str">
        <f>IF(BarriersTable[[#This Row],[PKEndValue]]="","",IF(D112="","",INT(D112/1000)&amp;"+"&amp;TEXT(MOD(D112,1000),"000.00")))</f>
        <v/>
      </c>
      <c r="I112" t="str">
        <f>IF(F112="","",IFERROR(_xlfn.XLOOKUP(F112,TableLibraryBarriers[Type],TableLibraryBarriers[BarrierFamily]),""))</f>
        <v/>
      </c>
      <c r="J112" t="str">
        <f>IF(F112="","",IFERROR(_xlfn.XLOOKUP(F112,TableLibraryBarriers[Type],TableLibraryBarriers[BarrierType]),""))</f>
        <v/>
      </c>
      <c r="K112" t="str">
        <f>IF(F112="","",IFERROR(_xlfn.XLOOKUP(F112,TableLibraryBarriers[Type],TableLibraryBarriers[BlockLinear]),""))</f>
        <v/>
      </c>
      <c r="L112" t="str">
        <f>IF(F112="","",IFERROR(_xlfn.XLOOKUP(F112,TableLibraryBarriers[Type],TableLibraryBarriers[BlockPost]),""))</f>
        <v/>
      </c>
      <c r="M112" t="str">
        <f>IF(F112="","",IFERROR(_xlfn.XLOOKUP(F112,TableLibraryBarriers[Type],TableLibraryBarriers[IFCEntity]),""))</f>
        <v/>
      </c>
      <c r="N112" t="str">
        <f>IF(F112="","",IFERROR(_xlfn.XLOOKUP(F112,TableLibraryBarriers[Type],TableLibraryBarriers[Material]),""))</f>
        <v/>
      </c>
      <c r="O112" t="str">
        <f>IF(F112="","",IFERROR(_xlfn.XLOOKUP(F112,TableLibraryBarriers[Type],TableLibraryBarriers[PostSpacing]),""))</f>
        <v/>
      </c>
      <c r="P112" t="str">
        <f>IF(F112="","",IFERROR(_xlfn.XLOOKUP(F112,TableLibraryBarriers[Type],TableLibraryBarriers[ModuleLength]),""))</f>
        <v/>
      </c>
      <c r="Q112" t="str">
        <f>IF(F112="","",IFERROR(_xlfn.XLOOKUP(F112,TableLibraryBarriers[Type],TableLibraryBarriers[Height]),""))</f>
        <v/>
      </c>
      <c r="R112" t="str">
        <f>IF(F112="","",IFERROR(_xlfn.XLOOKUP(F112,TableLibraryBarriers[Type],TableLibraryBarriers[Width]),""))</f>
        <v/>
      </c>
      <c r="S112" t="str">
        <f>IF(F112="","",IFERROR(_xlfn.XLOOKUP(F112,TableLibraryBarriers[Type],TableLibraryBarriers[ContainmentLevel]),""))</f>
        <v/>
      </c>
      <c r="T112" t="str">
        <f>IF(F112="","",IFERROR(_xlfn.XLOOKUP(F112,TableLibraryBarriers[Type],TableLibraryBarriers[WorkingWidth]),""))</f>
        <v/>
      </c>
      <c r="U112" t="str">
        <f>IF(F112="","",IFERROR(_xlfn.XLOOKUP(F112,TableLibraryBarriers[Type],TableLibraryBarriers[Layer]),""))</f>
        <v/>
      </c>
      <c r="V112" t="str">
        <f>IF(F112="","",IFERROR(_xlfn.XLOOKUP(F112,TableLibraryBarriers[Type],TableLibraryBarriers[TimeUnitLength(h)]),""))</f>
        <v/>
      </c>
      <c r="W112" t="str">
        <f>IF(F112="","",IFERROR(_xlfn.XLOOKUP(F112,TableLibraryBarriers[Type],TableLibraryBarriers[CostUnitLength]),""))</f>
        <v/>
      </c>
      <c r="X112" t="str">
        <f>IF(F112="","",IFERROR(_xlfn.XLOOKUP(F112,TableLibraryBarriers[Type],TableLibraryBarriers[Notes]),""))</f>
        <v/>
      </c>
      <c r="Y112" s="19"/>
      <c r="Z112" s="19"/>
    </row>
    <row r="113" spans="1:26">
      <c r="A113" t="str">
        <f t="shared" si="1"/>
        <v/>
      </c>
      <c r="C113" s="21"/>
      <c r="D113" s="21"/>
      <c r="E113" s="19"/>
      <c r="G113" s="16" t="str">
        <f>IF(BarriersTable[[#This Row],[PKStartValue]]="","",IF(C113="","",INT(C113/1000)&amp;"+"&amp;TEXT(MOD(C113,1000),"000.00")))</f>
        <v/>
      </c>
      <c r="H113" s="16" t="str">
        <f>IF(BarriersTable[[#This Row],[PKEndValue]]="","",IF(D113="","",INT(D113/1000)&amp;"+"&amp;TEXT(MOD(D113,1000),"000.00")))</f>
        <v/>
      </c>
      <c r="I113" t="str">
        <f>IF(F113="","",IFERROR(_xlfn.XLOOKUP(F113,TableLibraryBarriers[Type],TableLibraryBarriers[BarrierFamily]),""))</f>
        <v/>
      </c>
      <c r="J113" t="str">
        <f>IF(F113="","",IFERROR(_xlfn.XLOOKUP(F113,TableLibraryBarriers[Type],TableLibraryBarriers[BarrierType]),""))</f>
        <v/>
      </c>
      <c r="K113" t="str">
        <f>IF(F113="","",IFERROR(_xlfn.XLOOKUP(F113,TableLibraryBarriers[Type],TableLibraryBarriers[BlockLinear]),""))</f>
        <v/>
      </c>
      <c r="L113" t="str">
        <f>IF(F113="","",IFERROR(_xlfn.XLOOKUP(F113,TableLibraryBarriers[Type],TableLibraryBarriers[BlockPost]),""))</f>
        <v/>
      </c>
      <c r="M113" t="str">
        <f>IF(F113="","",IFERROR(_xlfn.XLOOKUP(F113,TableLibraryBarriers[Type],TableLibraryBarriers[IFCEntity]),""))</f>
        <v/>
      </c>
      <c r="N113" t="str">
        <f>IF(F113="","",IFERROR(_xlfn.XLOOKUP(F113,TableLibraryBarriers[Type],TableLibraryBarriers[Material]),""))</f>
        <v/>
      </c>
      <c r="O113" t="str">
        <f>IF(F113="","",IFERROR(_xlfn.XLOOKUP(F113,TableLibraryBarriers[Type],TableLibraryBarriers[PostSpacing]),""))</f>
        <v/>
      </c>
      <c r="P113" t="str">
        <f>IF(F113="","",IFERROR(_xlfn.XLOOKUP(F113,TableLibraryBarriers[Type],TableLibraryBarriers[ModuleLength]),""))</f>
        <v/>
      </c>
      <c r="Q113" t="str">
        <f>IF(F113="","",IFERROR(_xlfn.XLOOKUP(F113,TableLibraryBarriers[Type],TableLibraryBarriers[Height]),""))</f>
        <v/>
      </c>
      <c r="R113" t="str">
        <f>IF(F113="","",IFERROR(_xlfn.XLOOKUP(F113,TableLibraryBarriers[Type],TableLibraryBarriers[Width]),""))</f>
        <v/>
      </c>
      <c r="S113" t="str">
        <f>IF(F113="","",IFERROR(_xlfn.XLOOKUP(F113,TableLibraryBarriers[Type],TableLibraryBarriers[ContainmentLevel]),""))</f>
        <v/>
      </c>
      <c r="T113" t="str">
        <f>IF(F113="","",IFERROR(_xlfn.XLOOKUP(F113,TableLibraryBarriers[Type],TableLibraryBarriers[WorkingWidth]),""))</f>
        <v/>
      </c>
      <c r="U113" t="str">
        <f>IF(F113="","",IFERROR(_xlfn.XLOOKUP(F113,TableLibraryBarriers[Type],TableLibraryBarriers[Layer]),""))</f>
        <v/>
      </c>
      <c r="V113" t="str">
        <f>IF(F113="","",IFERROR(_xlfn.XLOOKUP(F113,TableLibraryBarriers[Type],TableLibraryBarriers[TimeUnitLength(h)]),""))</f>
        <v/>
      </c>
      <c r="W113" t="str">
        <f>IF(F113="","",IFERROR(_xlfn.XLOOKUP(F113,TableLibraryBarriers[Type],TableLibraryBarriers[CostUnitLength]),""))</f>
        <v/>
      </c>
      <c r="X113" t="str">
        <f>IF(F113="","",IFERROR(_xlfn.XLOOKUP(F113,TableLibraryBarriers[Type],TableLibraryBarriers[Notes]),""))</f>
        <v/>
      </c>
      <c r="Y113" s="19"/>
      <c r="Z113" s="19"/>
    </row>
    <row r="114" spans="1:26">
      <c r="A114" t="str">
        <f t="shared" si="1"/>
        <v/>
      </c>
      <c r="C114" s="21"/>
      <c r="D114" s="21"/>
      <c r="E114" s="19"/>
      <c r="G114" s="16" t="str">
        <f>IF(BarriersTable[[#This Row],[PKStartValue]]="","",IF(C114="","",INT(C114/1000)&amp;"+"&amp;TEXT(MOD(C114,1000),"000.00")))</f>
        <v/>
      </c>
      <c r="H114" s="16" t="str">
        <f>IF(BarriersTable[[#This Row],[PKEndValue]]="","",IF(D114="","",INT(D114/1000)&amp;"+"&amp;TEXT(MOD(D114,1000),"000.00")))</f>
        <v/>
      </c>
      <c r="I114" t="str">
        <f>IF(F114="","",IFERROR(_xlfn.XLOOKUP(F114,TableLibraryBarriers[Type],TableLibraryBarriers[BarrierFamily]),""))</f>
        <v/>
      </c>
      <c r="J114" t="str">
        <f>IF(F114="","",IFERROR(_xlfn.XLOOKUP(F114,TableLibraryBarriers[Type],TableLibraryBarriers[BarrierType]),""))</f>
        <v/>
      </c>
      <c r="K114" t="str">
        <f>IF(F114="","",IFERROR(_xlfn.XLOOKUP(F114,TableLibraryBarriers[Type],TableLibraryBarriers[BlockLinear]),""))</f>
        <v/>
      </c>
      <c r="L114" t="str">
        <f>IF(F114="","",IFERROR(_xlfn.XLOOKUP(F114,TableLibraryBarriers[Type],TableLibraryBarriers[BlockPost]),""))</f>
        <v/>
      </c>
      <c r="M114" t="str">
        <f>IF(F114="","",IFERROR(_xlfn.XLOOKUP(F114,TableLibraryBarriers[Type],TableLibraryBarriers[IFCEntity]),""))</f>
        <v/>
      </c>
      <c r="N114" t="str">
        <f>IF(F114="","",IFERROR(_xlfn.XLOOKUP(F114,TableLibraryBarriers[Type],TableLibraryBarriers[Material]),""))</f>
        <v/>
      </c>
      <c r="O114" t="str">
        <f>IF(F114="","",IFERROR(_xlfn.XLOOKUP(F114,TableLibraryBarriers[Type],TableLibraryBarriers[PostSpacing]),""))</f>
        <v/>
      </c>
      <c r="P114" t="str">
        <f>IF(F114="","",IFERROR(_xlfn.XLOOKUP(F114,TableLibraryBarriers[Type],TableLibraryBarriers[ModuleLength]),""))</f>
        <v/>
      </c>
      <c r="Q114" t="str">
        <f>IF(F114="","",IFERROR(_xlfn.XLOOKUP(F114,TableLibraryBarriers[Type],TableLibraryBarriers[Height]),""))</f>
        <v/>
      </c>
      <c r="R114" t="str">
        <f>IF(F114="","",IFERROR(_xlfn.XLOOKUP(F114,TableLibraryBarriers[Type],TableLibraryBarriers[Width]),""))</f>
        <v/>
      </c>
      <c r="S114" t="str">
        <f>IF(F114="","",IFERROR(_xlfn.XLOOKUP(F114,TableLibraryBarriers[Type],TableLibraryBarriers[ContainmentLevel]),""))</f>
        <v/>
      </c>
      <c r="T114" t="str">
        <f>IF(F114="","",IFERROR(_xlfn.XLOOKUP(F114,TableLibraryBarriers[Type],TableLibraryBarriers[WorkingWidth]),""))</f>
        <v/>
      </c>
      <c r="U114" t="str">
        <f>IF(F114="","",IFERROR(_xlfn.XLOOKUP(F114,TableLibraryBarriers[Type],TableLibraryBarriers[Layer]),""))</f>
        <v/>
      </c>
      <c r="V114" t="str">
        <f>IF(F114="","",IFERROR(_xlfn.XLOOKUP(F114,TableLibraryBarriers[Type],TableLibraryBarriers[TimeUnitLength(h)]),""))</f>
        <v/>
      </c>
      <c r="W114" t="str">
        <f>IF(F114="","",IFERROR(_xlfn.XLOOKUP(F114,TableLibraryBarriers[Type],TableLibraryBarriers[CostUnitLength]),""))</f>
        <v/>
      </c>
      <c r="X114" t="str">
        <f>IF(F114="","",IFERROR(_xlfn.XLOOKUP(F114,TableLibraryBarriers[Type],TableLibraryBarriers[Notes]),""))</f>
        <v/>
      </c>
      <c r="Y114" s="19"/>
      <c r="Z114" s="19"/>
    </row>
    <row r="115" spans="1:26">
      <c r="A115" t="str">
        <f t="shared" si="1"/>
        <v/>
      </c>
      <c r="C115" s="21"/>
      <c r="D115" s="21"/>
      <c r="E115" s="19"/>
      <c r="G115" s="16" t="str">
        <f>IF(BarriersTable[[#This Row],[PKStartValue]]="","",IF(C115="","",INT(C115/1000)&amp;"+"&amp;TEXT(MOD(C115,1000),"000.00")))</f>
        <v/>
      </c>
      <c r="H115" s="16" t="str">
        <f>IF(BarriersTable[[#This Row],[PKEndValue]]="","",IF(D115="","",INT(D115/1000)&amp;"+"&amp;TEXT(MOD(D115,1000),"000.00")))</f>
        <v/>
      </c>
      <c r="I115" t="str">
        <f>IF(F115="","",IFERROR(_xlfn.XLOOKUP(F115,TableLibraryBarriers[Type],TableLibraryBarriers[BarrierFamily]),""))</f>
        <v/>
      </c>
      <c r="J115" t="str">
        <f>IF(F115="","",IFERROR(_xlfn.XLOOKUP(F115,TableLibraryBarriers[Type],TableLibraryBarriers[BarrierType]),""))</f>
        <v/>
      </c>
      <c r="K115" t="str">
        <f>IF(F115="","",IFERROR(_xlfn.XLOOKUP(F115,TableLibraryBarriers[Type],TableLibraryBarriers[BlockLinear]),""))</f>
        <v/>
      </c>
      <c r="L115" t="str">
        <f>IF(F115="","",IFERROR(_xlfn.XLOOKUP(F115,TableLibraryBarriers[Type],TableLibraryBarriers[BlockPost]),""))</f>
        <v/>
      </c>
      <c r="M115" t="str">
        <f>IF(F115="","",IFERROR(_xlfn.XLOOKUP(F115,TableLibraryBarriers[Type],TableLibraryBarriers[IFCEntity]),""))</f>
        <v/>
      </c>
      <c r="N115" t="str">
        <f>IF(F115="","",IFERROR(_xlfn.XLOOKUP(F115,TableLibraryBarriers[Type],TableLibraryBarriers[Material]),""))</f>
        <v/>
      </c>
      <c r="O115" t="str">
        <f>IF(F115="","",IFERROR(_xlfn.XLOOKUP(F115,TableLibraryBarriers[Type],TableLibraryBarriers[PostSpacing]),""))</f>
        <v/>
      </c>
      <c r="P115" t="str">
        <f>IF(F115="","",IFERROR(_xlfn.XLOOKUP(F115,TableLibraryBarriers[Type],TableLibraryBarriers[ModuleLength]),""))</f>
        <v/>
      </c>
      <c r="Q115" t="str">
        <f>IF(F115="","",IFERROR(_xlfn.XLOOKUP(F115,TableLibraryBarriers[Type],TableLibraryBarriers[Height]),""))</f>
        <v/>
      </c>
      <c r="R115" t="str">
        <f>IF(F115="","",IFERROR(_xlfn.XLOOKUP(F115,TableLibraryBarriers[Type],TableLibraryBarriers[Width]),""))</f>
        <v/>
      </c>
      <c r="S115" t="str">
        <f>IF(F115="","",IFERROR(_xlfn.XLOOKUP(F115,TableLibraryBarriers[Type],TableLibraryBarriers[ContainmentLevel]),""))</f>
        <v/>
      </c>
      <c r="T115" t="str">
        <f>IF(F115="","",IFERROR(_xlfn.XLOOKUP(F115,TableLibraryBarriers[Type],TableLibraryBarriers[WorkingWidth]),""))</f>
        <v/>
      </c>
      <c r="U115" t="str">
        <f>IF(F115="","",IFERROR(_xlfn.XLOOKUP(F115,TableLibraryBarriers[Type],TableLibraryBarriers[Layer]),""))</f>
        <v/>
      </c>
      <c r="V115" t="str">
        <f>IF(F115="","",IFERROR(_xlfn.XLOOKUP(F115,TableLibraryBarriers[Type],TableLibraryBarriers[TimeUnitLength(h)]),""))</f>
        <v/>
      </c>
      <c r="W115" t="str">
        <f>IF(F115="","",IFERROR(_xlfn.XLOOKUP(F115,TableLibraryBarriers[Type],TableLibraryBarriers[CostUnitLength]),""))</f>
        <v/>
      </c>
      <c r="X115" t="str">
        <f>IF(F115="","",IFERROR(_xlfn.XLOOKUP(F115,TableLibraryBarriers[Type],TableLibraryBarriers[Notes]),""))</f>
        <v/>
      </c>
      <c r="Y115" s="19"/>
      <c r="Z115" s="19"/>
    </row>
    <row r="116" spans="1:26">
      <c r="A116" t="str">
        <f t="shared" si="1"/>
        <v/>
      </c>
      <c r="C116" s="21"/>
      <c r="D116" s="21"/>
      <c r="E116" s="19"/>
      <c r="G116" s="16" t="str">
        <f>IF(BarriersTable[[#This Row],[PKStartValue]]="","",IF(C116="","",INT(C116/1000)&amp;"+"&amp;TEXT(MOD(C116,1000),"000.00")))</f>
        <v/>
      </c>
      <c r="H116" s="16" t="str">
        <f>IF(BarriersTable[[#This Row],[PKEndValue]]="","",IF(D116="","",INT(D116/1000)&amp;"+"&amp;TEXT(MOD(D116,1000),"000.00")))</f>
        <v/>
      </c>
      <c r="I116" t="str">
        <f>IF(F116="","",IFERROR(_xlfn.XLOOKUP(F116,TableLibraryBarriers[Type],TableLibraryBarriers[BarrierFamily]),""))</f>
        <v/>
      </c>
      <c r="J116" t="str">
        <f>IF(F116="","",IFERROR(_xlfn.XLOOKUP(F116,TableLibraryBarriers[Type],TableLibraryBarriers[BarrierType]),""))</f>
        <v/>
      </c>
      <c r="K116" t="str">
        <f>IF(F116="","",IFERROR(_xlfn.XLOOKUP(F116,TableLibraryBarriers[Type],TableLibraryBarriers[BlockLinear]),""))</f>
        <v/>
      </c>
      <c r="L116" t="str">
        <f>IF(F116="","",IFERROR(_xlfn.XLOOKUP(F116,TableLibraryBarriers[Type],TableLibraryBarriers[BlockPost]),""))</f>
        <v/>
      </c>
      <c r="M116" t="str">
        <f>IF(F116="","",IFERROR(_xlfn.XLOOKUP(F116,TableLibraryBarriers[Type],TableLibraryBarriers[IFCEntity]),""))</f>
        <v/>
      </c>
      <c r="N116" t="str">
        <f>IF(F116="","",IFERROR(_xlfn.XLOOKUP(F116,TableLibraryBarriers[Type],TableLibraryBarriers[Material]),""))</f>
        <v/>
      </c>
      <c r="O116" t="str">
        <f>IF(F116="","",IFERROR(_xlfn.XLOOKUP(F116,TableLibraryBarriers[Type],TableLibraryBarriers[PostSpacing]),""))</f>
        <v/>
      </c>
      <c r="P116" t="str">
        <f>IF(F116="","",IFERROR(_xlfn.XLOOKUP(F116,TableLibraryBarriers[Type],TableLibraryBarriers[ModuleLength]),""))</f>
        <v/>
      </c>
      <c r="Q116" t="str">
        <f>IF(F116="","",IFERROR(_xlfn.XLOOKUP(F116,TableLibraryBarriers[Type],TableLibraryBarriers[Height]),""))</f>
        <v/>
      </c>
      <c r="R116" t="str">
        <f>IF(F116="","",IFERROR(_xlfn.XLOOKUP(F116,TableLibraryBarriers[Type],TableLibraryBarriers[Width]),""))</f>
        <v/>
      </c>
      <c r="S116" t="str">
        <f>IF(F116="","",IFERROR(_xlfn.XLOOKUP(F116,TableLibraryBarriers[Type],TableLibraryBarriers[ContainmentLevel]),""))</f>
        <v/>
      </c>
      <c r="T116" t="str">
        <f>IF(F116="","",IFERROR(_xlfn.XLOOKUP(F116,TableLibraryBarriers[Type],TableLibraryBarriers[WorkingWidth]),""))</f>
        <v/>
      </c>
      <c r="U116" t="str">
        <f>IF(F116="","",IFERROR(_xlfn.XLOOKUP(F116,TableLibraryBarriers[Type],TableLibraryBarriers[Layer]),""))</f>
        <v/>
      </c>
      <c r="V116" t="str">
        <f>IF(F116="","",IFERROR(_xlfn.XLOOKUP(F116,TableLibraryBarriers[Type],TableLibraryBarriers[TimeUnitLength(h)]),""))</f>
        <v/>
      </c>
      <c r="W116" t="str">
        <f>IF(F116="","",IFERROR(_xlfn.XLOOKUP(F116,TableLibraryBarriers[Type],TableLibraryBarriers[CostUnitLength]),""))</f>
        <v/>
      </c>
      <c r="X116" t="str">
        <f>IF(F116="","",IFERROR(_xlfn.XLOOKUP(F116,TableLibraryBarriers[Type],TableLibraryBarriers[Notes]),""))</f>
        <v/>
      </c>
      <c r="Y116" s="19"/>
      <c r="Z116" s="19"/>
    </row>
    <row r="117" spans="1:26">
      <c r="A117" t="str">
        <f t="shared" si="1"/>
        <v/>
      </c>
      <c r="C117" s="21"/>
      <c r="D117" s="21"/>
      <c r="E117" s="19"/>
      <c r="G117" s="16" t="str">
        <f>IF(BarriersTable[[#This Row],[PKStartValue]]="","",IF(C117="","",INT(C117/1000)&amp;"+"&amp;TEXT(MOD(C117,1000),"000.00")))</f>
        <v/>
      </c>
      <c r="H117" s="16" t="str">
        <f>IF(BarriersTable[[#This Row],[PKEndValue]]="","",IF(D117="","",INT(D117/1000)&amp;"+"&amp;TEXT(MOD(D117,1000),"000.00")))</f>
        <v/>
      </c>
      <c r="I117" t="str">
        <f>IF(F117="","",IFERROR(_xlfn.XLOOKUP(F117,TableLibraryBarriers[Type],TableLibraryBarriers[BarrierFamily]),""))</f>
        <v/>
      </c>
      <c r="J117" t="str">
        <f>IF(F117="","",IFERROR(_xlfn.XLOOKUP(F117,TableLibraryBarriers[Type],TableLibraryBarriers[BarrierType]),""))</f>
        <v/>
      </c>
      <c r="K117" t="str">
        <f>IF(F117="","",IFERROR(_xlfn.XLOOKUP(F117,TableLibraryBarriers[Type],TableLibraryBarriers[BlockLinear]),""))</f>
        <v/>
      </c>
      <c r="L117" t="str">
        <f>IF(F117="","",IFERROR(_xlfn.XLOOKUP(F117,TableLibraryBarriers[Type],TableLibraryBarriers[BlockPost]),""))</f>
        <v/>
      </c>
      <c r="M117" t="str">
        <f>IF(F117="","",IFERROR(_xlfn.XLOOKUP(F117,TableLibraryBarriers[Type],TableLibraryBarriers[IFCEntity]),""))</f>
        <v/>
      </c>
      <c r="N117" t="str">
        <f>IF(F117="","",IFERROR(_xlfn.XLOOKUP(F117,TableLibraryBarriers[Type],TableLibraryBarriers[Material]),""))</f>
        <v/>
      </c>
      <c r="O117" t="str">
        <f>IF(F117="","",IFERROR(_xlfn.XLOOKUP(F117,TableLibraryBarriers[Type],TableLibraryBarriers[PostSpacing]),""))</f>
        <v/>
      </c>
      <c r="P117" t="str">
        <f>IF(F117="","",IFERROR(_xlfn.XLOOKUP(F117,TableLibraryBarriers[Type],TableLibraryBarriers[ModuleLength]),""))</f>
        <v/>
      </c>
      <c r="Q117" t="str">
        <f>IF(F117="","",IFERROR(_xlfn.XLOOKUP(F117,TableLibraryBarriers[Type],TableLibraryBarriers[Height]),""))</f>
        <v/>
      </c>
      <c r="R117" t="str">
        <f>IF(F117="","",IFERROR(_xlfn.XLOOKUP(F117,TableLibraryBarriers[Type],TableLibraryBarriers[Width]),""))</f>
        <v/>
      </c>
      <c r="S117" t="str">
        <f>IF(F117="","",IFERROR(_xlfn.XLOOKUP(F117,TableLibraryBarriers[Type],TableLibraryBarriers[ContainmentLevel]),""))</f>
        <v/>
      </c>
      <c r="T117" t="str">
        <f>IF(F117="","",IFERROR(_xlfn.XLOOKUP(F117,TableLibraryBarriers[Type],TableLibraryBarriers[WorkingWidth]),""))</f>
        <v/>
      </c>
      <c r="U117" t="str">
        <f>IF(F117="","",IFERROR(_xlfn.XLOOKUP(F117,TableLibraryBarriers[Type],TableLibraryBarriers[Layer]),""))</f>
        <v/>
      </c>
      <c r="V117" t="str">
        <f>IF(F117="","",IFERROR(_xlfn.XLOOKUP(F117,TableLibraryBarriers[Type],TableLibraryBarriers[TimeUnitLength(h)]),""))</f>
        <v/>
      </c>
      <c r="W117" t="str">
        <f>IF(F117="","",IFERROR(_xlfn.XLOOKUP(F117,TableLibraryBarriers[Type],TableLibraryBarriers[CostUnitLength]),""))</f>
        <v/>
      </c>
      <c r="X117" t="str">
        <f>IF(F117="","",IFERROR(_xlfn.XLOOKUP(F117,TableLibraryBarriers[Type],TableLibraryBarriers[Notes]),""))</f>
        <v/>
      </c>
      <c r="Y117" s="19"/>
      <c r="Z117" s="19"/>
    </row>
    <row r="118" spans="1:26">
      <c r="A118" t="str">
        <f t="shared" si="1"/>
        <v/>
      </c>
      <c r="C118" s="21"/>
      <c r="D118" s="21"/>
      <c r="E118" s="19"/>
      <c r="G118" s="16" t="str">
        <f>IF(BarriersTable[[#This Row],[PKStartValue]]="","",IF(C118="","",INT(C118/1000)&amp;"+"&amp;TEXT(MOD(C118,1000),"000.00")))</f>
        <v/>
      </c>
      <c r="H118" s="16" t="str">
        <f>IF(BarriersTable[[#This Row],[PKEndValue]]="","",IF(D118="","",INT(D118/1000)&amp;"+"&amp;TEXT(MOD(D118,1000),"000.00")))</f>
        <v/>
      </c>
      <c r="I118" t="str">
        <f>IF(F118="","",IFERROR(_xlfn.XLOOKUP(F118,TableLibraryBarriers[Type],TableLibraryBarriers[BarrierFamily]),""))</f>
        <v/>
      </c>
      <c r="J118" t="str">
        <f>IF(F118="","",IFERROR(_xlfn.XLOOKUP(F118,TableLibraryBarriers[Type],TableLibraryBarriers[BarrierType]),""))</f>
        <v/>
      </c>
      <c r="K118" t="str">
        <f>IF(F118="","",IFERROR(_xlfn.XLOOKUP(F118,TableLibraryBarriers[Type],TableLibraryBarriers[BlockLinear]),""))</f>
        <v/>
      </c>
      <c r="L118" t="str">
        <f>IF(F118="","",IFERROR(_xlfn.XLOOKUP(F118,TableLibraryBarriers[Type],TableLibraryBarriers[BlockPost]),""))</f>
        <v/>
      </c>
      <c r="M118" t="str">
        <f>IF(F118="","",IFERROR(_xlfn.XLOOKUP(F118,TableLibraryBarriers[Type],TableLibraryBarriers[IFCEntity]),""))</f>
        <v/>
      </c>
      <c r="N118" t="str">
        <f>IF(F118="","",IFERROR(_xlfn.XLOOKUP(F118,TableLibraryBarriers[Type],TableLibraryBarriers[Material]),""))</f>
        <v/>
      </c>
      <c r="O118" t="str">
        <f>IF(F118="","",IFERROR(_xlfn.XLOOKUP(F118,TableLibraryBarriers[Type],TableLibraryBarriers[PostSpacing]),""))</f>
        <v/>
      </c>
      <c r="P118" t="str">
        <f>IF(F118="","",IFERROR(_xlfn.XLOOKUP(F118,TableLibraryBarriers[Type],TableLibraryBarriers[ModuleLength]),""))</f>
        <v/>
      </c>
      <c r="Q118" t="str">
        <f>IF(F118="","",IFERROR(_xlfn.XLOOKUP(F118,TableLibraryBarriers[Type],TableLibraryBarriers[Height]),""))</f>
        <v/>
      </c>
      <c r="R118" t="str">
        <f>IF(F118="","",IFERROR(_xlfn.XLOOKUP(F118,TableLibraryBarriers[Type],TableLibraryBarriers[Width]),""))</f>
        <v/>
      </c>
      <c r="S118" t="str">
        <f>IF(F118="","",IFERROR(_xlfn.XLOOKUP(F118,TableLibraryBarriers[Type],TableLibraryBarriers[ContainmentLevel]),""))</f>
        <v/>
      </c>
      <c r="T118" t="str">
        <f>IF(F118="","",IFERROR(_xlfn.XLOOKUP(F118,TableLibraryBarriers[Type],TableLibraryBarriers[WorkingWidth]),""))</f>
        <v/>
      </c>
      <c r="U118" t="str">
        <f>IF(F118="","",IFERROR(_xlfn.XLOOKUP(F118,TableLibraryBarriers[Type],TableLibraryBarriers[Layer]),""))</f>
        <v/>
      </c>
      <c r="V118" t="str">
        <f>IF(F118="","",IFERROR(_xlfn.XLOOKUP(F118,TableLibraryBarriers[Type],TableLibraryBarriers[TimeUnitLength(h)]),""))</f>
        <v/>
      </c>
      <c r="W118" t="str">
        <f>IF(F118="","",IFERROR(_xlfn.XLOOKUP(F118,TableLibraryBarriers[Type],TableLibraryBarriers[CostUnitLength]),""))</f>
        <v/>
      </c>
      <c r="X118" t="str">
        <f>IF(F118="","",IFERROR(_xlfn.XLOOKUP(F118,TableLibraryBarriers[Type],TableLibraryBarriers[Notes]),""))</f>
        <v/>
      </c>
      <c r="Y118" s="19"/>
      <c r="Z118" s="19"/>
    </row>
    <row r="119" spans="1:26">
      <c r="A119" t="str">
        <f t="shared" si="1"/>
        <v/>
      </c>
      <c r="C119" s="21"/>
      <c r="D119" s="21"/>
      <c r="E119" s="19"/>
      <c r="G119" s="16" t="str">
        <f>IF(BarriersTable[[#This Row],[PKStartValue]]="","",IF(C119="","",INT(C119/1000)&amp;"+"&amp;TEXT(MOD(C119,1000),"000.00")))</f>
        <v/>
      </c>
      <c r="H119" s="16" t="str">
        <f>IF(BarriersTable[[#This Row],[PKEndValue]]="","",IF(D119="","",INT(D119/1000)&amp;"+"&amp;TEXT(MOD(D119,1000),"000.00")))</f>
        <v/>
      </c>
      <c r="I119" t="str">
        <f>IF(F119="","",IFERROR(_xlfn.XLOOKUP(F119,TableLibraryBarriers[Type],TableLibraryBarriers[BarrierFamily]),""))</f>
        <v/>
      </c>
      <c r="J119" t="str">
        <f>IF(F119="","",IFERROR(_xlfn.XLOOKUP(F119,TableLibraryBarriers[Type],TableLibraryBarriers[BarrierType]),""))</f>
        <v/>
      </c>
      <c r="K119" t="str">
        <f>IF(F119="","",IFERROR(_xlfn.XLOOKUP(F119,TableLibraryBarriers[Type],TableLibraryBarriers[BlockLinear]),""))</f>
        <v/>
      </c>
      <c r="L119" t="str">
        <f>IF(F119="","",IFERROR(_xlfn.XLOOKUP(F119,TableLibraryBarriers[Type],TableLibraryBarriers[BlockPost]),""))</f>
        <v/>
      </c>
      <c r="M119" t="str">
        <f>IF(F119="","",IFERROR(_xlfn.XLOOKUP(F119,TableLibraryBarriers[Type],TableLibraryBarriers[IFCEntity]),""))</f>
        <v/>
      </c>
      <c r="N119" t="str">
        <f>IF(F119="","",IFERROR(_xlfn.XLOOKUP(F119,TableLibraryBarriers[Type],TableLibraryBarriers[Material]),""))</f>
        <v/>
      </c>
      <c r="O119" t="str">
        <f>IF(F119="","",IFERROR(_xlfn.XLOOKUP(F119,TableLibraryBarriers[Type],TableLibraryBarriers[PostSpacing]),""))</f>
        <v/>
      </c>
      <c r="P119" t="str">
        <f>IF(F119="","",IFERROR(_xlfn.XLOOKUP(F119,TableLibraryBarriers[Type],TableLibraryBarriers[ModuleLength]),""))</f>
        <v/>
      </c>
      <c r="Q119" t="str">
        <f>IF(F119="","",IFERROR(_xlfn.XLOOKUP(F119,TableLibraryBarriers[Type],TableLibraryBarriers[Height]),""))</f>
        <v/>
      </c>
      <c r="R119" t="str">
        <f>IF(F119="","",IFERROR(_xlfn.XLOOKUP(F119,TableLibraryBarriers[Type],TableLibraryBarriers[Width]),""))</f>
        <v/>
      </c>
      <c r="S119" t="str">
        <f>IF(F119="","",IFERROR(_xlfn.XLOOKUP(F119,TableLibraryBarriers[Type],TableLibraryBarriers[ContainmentLevel]),""))</f>
        <v/>
      </c>
      <c r="T119" t="str">
        <f>IF(F119="","",IFERROR(_xlfn.XLOOKUP(F119,TableLibraryBarriers[Type],TableLibraryBarriers[WorkingWidth]),""))</f>
        <v/>
      </c>
      <c r="U119" t="str">
        <f>IF(F119="","",IFERROR(_xlfn.XLOOKUP(F119,TableLibraryBarriers[Type],TableLibraryBarriers[Layer]),""))</f>
        <v/>
      </c>
      <c r="V119" t="str">
        <f>IF(F119="","",IFERROR(_xlfn.XLOOKUP(F119,TableLibraryBarriers[Type],TableLibraryBarriers[TimeUnitLength(h)]),""))</f>
        <v/>
      </c>
      <c r="W119" t="str">
        <f>IF(F119="","",IFERROR(_xlfn.XLOOKUP(F119,TableLibraryBarriers[Type],TableLibraryBarriers[CostUnitLength]),""))</f>
        <v/>
      </c>
      <c r="X119" t="str">
        <f>IF(F119="","",IFERROR(_xlfn.XLOOKUP(F119,TableLibraryBarriers[Type],TableLibraryBarriers[Notes]),""))</f>
        <v/>
      </c>
      <c r="Y119" s="19"/>
      <c r="Z119" s="19"/>
    </row>
    <row r="120" spans="1:26">
      <c r="A120" t="str">
        <f t="shared" si="1"/>
        <v/>
      </c>
      <c r="C120" s="21"/>
      <c r="D120" s="21"/>
      <c r="E120" s="19"/>
      <c r="G120" s="16" t="str">
        <f>IF(BarriersTable[[#This Row],[PKStartValue]]="","",IF(C120="","",INT(C120/1000)&amp;"+"&amp;TEXT(MOD(C120,1000),"000.00")))</f>
        <v/>
      </c>
      <c r="H120" s="16" t="str">
        <f>IF(BarriersTable[[#This Row],[PKEndValue]]="","",IF(D120="","",INT(D120/1000)&amp;"+"&amp;TEXT(MOD(D120,1000),"000.00")))</f>
        <v/>
      </c>
      <c r="I120" t="str">
        <f>IF(F120="","",IFERROR(_xlfn.XLOOKUP(F120,TableLibraryBarriers[Type],TableLibraryBarriers[BarrierFamily]),""))</f>
        <v/>
      </c>
      <c r="J120" t="str">
        <f>IF(F120="","",IFERROR(_xlfn.XLOOKUP(F120,TableLibraryBarriers[Type],TableLibraryBarriers[BarrierType]),""))</f>
        <v/>
      </c>
      <c r="K120" t="str">
        <f>IF(F120="","",IFERROR(_xlfn.XLOOKUP(F120,TableLibraryBarriers[Type],TableLibraryBarriers[BlockLinear]),""))</f>
        <v/>
      </c>
      <c r="L120" t="str">
        <f>IF(F120="","",IFERROR(_xlfn.XLOOKUP(F120,TableLibraryBarriers[Type],TableLibraryBarriers[BlockPost]),""))</f>
        <v/>
      </c>
      <c r="M120" t="str">
        <f>IF(F120="","",IFERROR(_xlfn.XLOOKUP(F120,TableLibraryBarriers[Type],TableLibraryBarriers[IFCEntity]),""))</f>
        <v/>
      </c>
      <c r="N120" t="str">
        <f>IF(F120="","",IFERROR(_xlfn.XLOOKUP(F120,TableLibraryBarriers[Type],TableLibraryBarriers[Material]),""))</f>
        <v/>
      </c>
      <c r="O120" t="str">
        <f>IF(F120="","",IFERROR(_xlfn.XLOOKUP(F120,TableLibraryBarriers[Type],TableLibraryBarriers[PostSpacing]),""))</f>
        <v/>
      </c>
      <c r="P120" t="str">
        <f>IF(F120="","",IFERROR(_xlfn.XLOOKUP(F120,TableLibraryBarriers[Type],TableLibraryBarriers[ModuleLength]),""))</f>
        <v/>
      </c>
      <c r="Q120" t="str">
        <f>IF(F120="","",IFERROR(_xlfn.XLOOKUP(F120,TableLibraryBarriers[Type],TableLibraryBarriers[Height]),""))</f>
        <v/>
      </c>
      <c r="R120" t="str">
        <f>IF(F120="","",IFERROR(_xlfn.XLOOKUP(F120,TableLibraryBarriers[Type],TableLibraryBarriers[Width]),""))</f>
        <v/>
      </c>
      <c r="S120" t="str">
        <f>IF(F120="","",IFERROR(_xlfn.XLOOKUP(F120,TableLibraryBarriers[Type],TableLibraryBarriers[ContainmentLevel]),""))</f>
        <v/>
      </c>
      <c r="T120" t="str">
        <f>IF(F120="","",IFERROR(_xlfn.XLOOKUP(F120,TableLibraryBarriers[Type],TableLibraryBarriers[WorkingWidth]),""))</f>
        <v/>
      </c>
      <c r="U120" t="str">
        <f>IF(F120="","",IFERROR(_xlfn.XLOOKUP(F120,TableLibraryBarriers[Type],TableLibraryBarriers[Layer]),""))</f>
        <v/>
      </c>
      <c r="V120" t="str">
        <f>IF(F120="","",IFERROR(_xlfn.XLOOKUP(F120,TableLibraryBarriers[Type],TableLibraryBarriers[TimeUnitLength(h)]),""))</f>
        <v/>
      </c>
      <c r="W120" t="str">
        <f>IF(F120="","",IFERROR(_xlfn.XLOOKUP(F120,TableLibraryBarriers[Type],TableLibraryBarriers[CostUnitLength]),""))</f>
        <v/>
      </c>
      <c r="X120" t="str">
        <f>IF(F120="","",IFERROR(_xlfn.XLOOKUP(F120,TableLibraryBarriers[Type],TableLibraryBarriers[Notes]),""))</f>
        <v/>
      </c>
      <c r="Y120" s="19"/>
      <c r="Z120" s="19"/>
    </row>
    <row r="121" spans="1:26">
      <c r="A121" t="str">
        <f t="shared" si="1"/>
        <v/>
      </c>
      <c r="C121" s="21"/>
      <c r="D121" s="21"/>
      <c r="E121" s="19"/>
      <c r="G121" s="16" t="str">
        <f>IF(BarriersTable[[#This Row],[PKStartValue]]="","",IF(C121="","",INT(C121/1000)&amp;"+"&amp;TEXT(MOD(C121,1000),"000.00")))</f>
        <v/>
      </c>
      <c r="H121" s="16" t="str">
        <f>IF(BarriersTable[[#This Row],[PKEndValue]]="","",IF(D121="","",INT(D121/1000)&amp;"+"&amp;TEXT(MOD(D121,1000),"000.00")))</f>
        <v/>
      </c>
      <c r="I121" t="str">
        <f>IF(F121="","",IFERROR(_xlfn.XLOOKUP(F121,TableLibraryBarriers[Type],TableLibraryBarriers[BarrierFamily]),""))</f>
        <v/>
      </c>
      <c r="J121" t="str">
        <f>IF(F121="","",IFERROR(_xlfn.XLOOKUP(F121,TableLibraryBarriers[Type],TableLibraryBarriers[BarrierType]),""))</f>
        <v/>
      </c>
      <c r="K121" t="str">
        <f>IF(F121="","",IFERROR(_xlfn.XLOOKUP(F121,TableLibraryBarriers[Type],TableLibraryBarriers[BlockLinear]),""))</f>
        <v/>
      </c>
      <c r="L121" t="str">
        <f>IF(F121="","",IFERROR(_xlfn.XLOOKUP(F121,TableLibraryBarriers[Type],TableLibraryBarriers[BlockPost]),""))</f>
        <v/>
      </c>
      <c r="M121" t="str">
        <f>IF(F121="","",IFERROR(_xlfn.XLOOKUP(F121,TableLibraryBarriers[Type],TableLibraryBarriers[IFCEntity]),""))</f>
        <v/>
      </c>
      <c r="N121" t="str">
        <f>IF(F121="","",IFERROR(_xlfn.XLOOKUP(F121,TableLibraryBarriers[Type],TableLibraryBarriers[Material]),""))</f>
        <v/>
      </c>
      <c r="O121" t="str">
        <f>IF(F121="","",IFERROR(_xlfn.XLOOKUP(F121,TableLibraryBarriers[Type],TableLibraryBarriers[PostSpacing]),""))</f>
        <v/>
      </c>
      <c r="P121" t="str">
        <f>IF(F121="","",IFERROR(_xlfn.XLOOKUP(F121,TableLibraryBarriers[Type],TableLibraryBarriers[ModuleLength]),""))</f>
        <v/>
      </c>
      <c r="Q121" t="str">
        <f>IF(F121="","",IFERROR(_xlfn.XLOOKUP(F121,TableLibraryBarriers[Type],TableLibraryBarriers[Height]),""))</f>
        <v/>
      </c>
      <c r="R121" t="str">
        <f>IF(F121="","",IFERROR(_xlfn.XLOOKUP(F121,TableLibraryBarriers[Type],TableLibraryBarriers[Width]),""))</f>
        <v/>
      </c>
      <c r="S121" t="str">
        <f>IF(F121="","",IFERROR(_xlfn.XLOOKUP(F121,TableLibraryBarriers[Type],TableLibraryBarriers[ContainmentLevel]),""))</f>
        <v/>
      </c>
      <c r="T121" t="str">
        <f>IF(F121="","",IFERROR(_xlfn.XLOOKUP(F121,TableLibraryBarriers[Type],TableLibraryBarriers[WorkingWidth]),""))</f>
        <v/>
      </c>
      <c r="U121" t="str">
        <f>IF(F121="","",IFERROR(_xlfn.XLOOKUP(F121,TableLibraryBarriers[Type],TableLibraryBarriers[Layer]),""))</f>
        <v/>
      </c>
      <c r="V121" t="str">
        <f>IF(F121="","",IFERROR(_xlfn.XLOOKUP(F121,TableLibraryBarriers[Type],TableLibraryBarriers[TimeUnitLength(h)]),""))</f>
        <v/>
      </c>
      <c r="W121" t="str">
        <f>IF(F121="","",IFERROR(_xlfn.XLOOKUP(F121,TableLibraryBarriers[Type],TableLibraryBarriers[CostUnitLength]),""))</f>
        <v/>
      </c>
      <c r="X121" t="str">
        <f>IF(F121="","",IFERROR(_xlfn.XLOOKUP(F121,TableLibraryBarriers[Type],TableLibraryBarriers[Notes]),""))</f>
        <v/>
      </c>
      <c r="Y121" s="19"/>
      <c r="Z121" s="19"/>
    </row>
    <row r="122" spans="1:26">
      <c r="A122" t="str">
        <f t="shared" si="1"/>
        <v/>
      </c>
      <c r="C122" s="21"/>
      <c r="D122" s="21"/>
      <c r="E122" s="19"/>
      <c r="G122" s="16" t="str">
        <f>IF(BarriersTable[[#This Row],[PKStartValue]]="","",IF(C122="","",INT(C122/1000)&amp;"+"&amp;TEXT(MOD(C122,1000),"000.00")))</f>
        <v/>
      </c>
      <c r="H122" s="16" t="str">
        <f>IF(BarriersTable[[#This Row],[PKEndValue]]="","",IF(D122="","",INT(D122/1000)&amp;"+"&amp;TEXT(MOD(D122,1000),"000.00")))</f>
        <v/>
      </c>
      <c r="I122" t="str">
        <f>IF(F122="","",IFERROR(_xlfn.XLOOKUP(F122,TableLibraryBarriers[Type],TableLibraryBarriers[BarrierFamily]),""))</f>
        <v/>
      </c>
      <c r="J122" t="str">
        <f>IF(F122="","",IFERROR(_xlfn.XLOOKUP(F122,TableLibraryBarriers[Type],TableLibraryBarriers[BarrierType]),""))</f>
        <v/>
      </c>
      <c r="K122" t="str">
        <f>IF(F122="","",IFERROR(_xlfn.XLOOKUP(F122,TableLibraryBarriers[Type],TableLibraryBarriers[BlockLinear]),""))</f>
        <v/>
      </c>
      <c r="L122" t="str">
        <f>IF(F122="","",IFERROR(_xlfn.XLOOKUP(F122,TableLibraryBarriers[Type],TableLibraryBarriers[BlockPost]),""))</f>
        <v/>
      </c>
      <c r="M122" t="str">
        <f>IF(F122="","",IFERROR(_xlfn.XLOOKUP(F122,TableLibraryBarriers[Type],TableLibraryBarriers[IFCEntity]),""))</f>
        <v/>
      </c>
      <c r="N122" t="str">
        <f>IF(F122="","",IFERROR(_xlfn.XLOOKUP(F122,TableLibraryBarriers[Type],TableLibraryBarriers[Material]),""))</f>
        <v/>
      </c>
      <c r="O122" t="str">
        <f>IF(F122="","",IFERROR(_xlfn.XLOOKUP(F122,TableLibraryBarriers[Type],TableLibraryBarriers[PostSpacing]),""))</f>
        <v/>
      </c>
      <c r="P122" t="str">
        <f>IF(F122="","",IFERROR(_xlfn.XLOOKUP(F122,TableLibraryBarriers[Type],TableLibraryBarriers[ModuleLength]),""))</f>
        <v/>
      </c>
      <c r="Q122" t="str">
        <f>IF(F122="","",IFERROR(_xlfn.XLOOKUP(F122,TableLibraryBarriers[Type],TableLibraryBarriers[Height]),""))</f>
        <v/>
      </c>
      <c r="R122" t="str">
        <f>IF(F122="","",IFERROR(_xlfn.XLOOKUP(F122,TableLibraryBarriers[Type],TableLibraryBarriers[Width]),""))</f>
        <v/>
      </c>
      <c r="S122" t="str">
        <f>IF(F122="","",IFERROR(_xlfn.XLOOKUP(F122,TableLibraryBarriers[Type],TableLibraryBarriers[ContainmentLevel]),""))</f>
        <v/>
      </c>
      <c r="T122" t="str">
        <f>IF(F122="","",IFERROR(_xlfn.XLOOKUP(F122,TableLibraryBarriers[Type],TableLibraryBarriers[WorkingWidth]),""))</f>
        <v/>
      </c>
      <c r="U122" t="str">
        <f>IF(F122="","",IFERROR(_xlfn.XLOOKUP(F122,TableLibraryBarriers[Type],TableLibraryBarriers[Layer]),""))</f>
        <v/>
      </c>
      <c r="V122" t="str">
        <f>IF(F122="","",IFERROR(_xlfn.XLOOKUP(F122,TableLibraryBarriers[Type],TableLibraryBarriers[TimeUnitLength(h)]),""))</f>
        <v/>
      </c>
      <c r="W122" t="str">
        <f>IF(F122="","",IFERROR(_xlfn.XLOOKUP(F122,TableLibraryBarriers[Type],TableLibraryBarriers[CostUnitLength]),""))</f>
        <v/>
      </c>
      <c r="X122" t="str">
        <f>IF(F122="","",IFERROR(_xlfn.XLOOKUP(F122,TableLibraryBarriers[Type],TableLibraryBarriers[Notes]),""))</f>
        <v/>
      </c>
      <c r="Y122" s="19"/>
      <c r="Z122" s="19"/>
    </row>
    <row r="123" spans="1:26">
      <c r="A123" t="str">
        <f t="shared" si="1"/>
        <v/>
      </c>
      <c r="C123" s="21"/>
      <c r="D123" s="21"/>
      <c r="E123" s="19"/>
      <c r="G123" s="16" t="str">
        <f>IF(BarriersTable[[#This Row],[PKStartValue]]="","",IF(C123="","",INT(C123/1000)&amp;"+"&amp;TEXT(MOD(C123,1000),"000.00")))</f>
        <v/>
      </c>
      <c r="H123" s="16" t="str">
        <f>IF(BarriersTable[[#This Row],[PKEndValue]]="","",IF(D123="","",INT(D123/1000)&amp;"+"&amp;TEXT(MOD(D123,1000),"000.00")))</f>
        <v/>
      </c>
      <c r="I123" t="str">
        <f>IF(F123="","",IFERROR(_xlfn.XLOOKUP(F123,TableLibraryBarriers[Type],TableLibraryBarriers[BarrierFamily]),""))</f>
        <v/>
      </c>
      <c r="J123" t="str">
        <f>IF(F123="","",IFERROR(_xlfn.XLOOKUP(F123,TableLibraryBarriers[Type],TableLibraryBarriers[BarrierType]),""))</f>
        <v/>
      </c>
      <c r="K123" t="str">
        <f>IF(F123="","",IFERROR(_xlfn.XLOOKUP(F123,TableLibraryBarriers[Type],TableLibraryBarriers[BlockLinear]),""))</f>
        <v/>
      </c>
      <c r="L123" t="str">
        <f>IF(F123="","",IFERROR(_xlfn.XLOOKUP(F123,TableLibraryBarriers[Type],TableLibraryBarriers[BlockPost]),""))</f>
        <v/>
      </c>
      <c r="M123" t="str">
        <f>IF(F123="","",IFERROR(_xlfn.XLOOKUP(F123,TableLibraryBarriers[Type],TableLibraryBarriers[IFCEntity]),""))</f>
        <v/>
      </c>
      <c r="N123" t="str">
        <f>IF(F123="","",IFERROR(_xlfn.XLOOKUP(F123,TableLibraryBarriers[Type],TableLibraryBarriers[Material]),""))</f>
        <v/>
      </c>
      <c r="O123" t="str">
        <f>IF(F123="","",IFERROR(_xlfn.XLOOKUP(F123,TableLibraryBarriers[Type],TableLibraryBarriers[PostSpacing]),""))</f>
        <v/>
      </c>
      <c r="P123" t="str">
        <f>IF(F123="","",IFERROR(_xlfn.XLOOKUP(F123,TableLibraryBarriers[Type],TableLibraryBarriers[ModuleLength]),""))</f>
        <v/>
      </c>
      <c r="Q123" t="str">
        <f>IF(F123="","",IFERROR(_xlfn.XLOOKUP(F123,TableLibraryBarriers[Type],TableLibraryBarriers[Height]),""))</f>
        <v/>
      </c>
      <c r="R123" t="str">
        <f>IF(F123="","",IFERROR(_xlfn.XLOOKUP(F123,TableLibraryBarriers[Type],TableLibraryBarriers[Width]),""))</f>
        <v/>
      </c>
      <c r="S123" t="str">
        <f>IF(F123="","",IFERROR(_xlfn.XLOOKUP(F123,TableLibraryBarriers[Type],TableLibraryBarriers[ContainmentLevel]),""))</f>
        <v/>
      </c>
      <c r="T123" t="str">
        <f>IF(F123="","",IFERROR(_xlfn.XLOOKUP(F123,TableLibraryBarriers[Type],TableLibraryBarriers[WorkingWidth]),""))</f>
        <v/>
      </c>
      <c r="U123" t="str">
        <f>IF(F123="","",IFERROR(_xlfn.XLOOKUP(F123,TableLibraryBarriers[Type],TableLibraryBarriers[Layer]),""))</f>
        <v/>
      </c>
      <c r="V123" t="str">
        <f>IF(F123="","",IFERROR(_xlfn.XLOOKUP(F123,TableLibraryBarriers[Type],TableLibraryBarriers[TimeUnitLength(h)]),""))</f>
        <v/>
      </c>
      <c r="W123" t="str">
        <f>IF(F123="","",IFERROR(_xlfn.XLOOKUP(F123,TableLibraryBarriers[Type],TableLibraryBarriers[CostUnitLength]),""))</f>
        <v/>
      </c>
      <c r="X123" t="str">
        <f>IF(F123="","",IFERROR(_xlfn.XLOOKUP(F123,TableLibraryBarriers[Type],TableLibraryBarriers[Notes]),""))</f>
        <v/>
      </c>
      <c r="Y123" s="19"/>
      <c r="Z123" s="19"/>
    </row>
    <row r="124" spans="1:26">
      <c r="A124" t="str">
        <f t="shared" si="1"/>
        <v/>
      </c>
      <c r="C124" s="21"/>
      <c r="D124" s="21"/>
      <c r="E124" s="19"/>
      <c r="G124" s="16" t="str">
        <f>IF(BarriersTable[[#This Row],[PKStartValue]]="","",IF(C124="","",INT(C124/1000)&amp;"+"&amp;TEXT(MOD(C124,1000),"000.00")))</f>
        <v/>
      </c>
      <c r="H124" s="16" t="str">
        <f>IF(BarriersTable[[#This Row],[PKEndValue]]="","",IF(D124="","",INT(D124/1000)&amp;"+"&amp;TEXT(MOD(D124,1000),"000.00")))</f>
        <v/>
      </c>
      <c r="I124" t="str">
        <f>IF(F124="","",IFERROR(_xlfn.XLOOKUP(F124,TableLibraryBarriers[Type],TableLibraryBarriers[BarrierFamily]),""))</f>
        <v/>
      </c>
      <c r="J124" t="str">
        <f>IF(F124="","",IFERROR(_xlfn.XLOOKUP(F124,TableLibraryBarriers[Type],TableLibraryBarriers[BarrierType]),""))</f>
        <v/>
      </c>
      <c r="K124" t="str">
        <f>IF(F124="","",IFERROR(_xlfn.XLOOKUP(F124,TableLibraryBarriers[Type],TableLibraryBarriers[BlockLinear]),""))</f>
        <v/>
      </c>
      <c r="L124" t="str">
        <f>IF(F124="","",IFERROR(_xlfn.XLOOKUP(F124,TableLibraryBarriers[Type],TableLibraryBarriers[BlockPost]),""))</f>
        <v/>
      </c>
      <c r="M124" t="str">
        <f>IF(F124="","",IFERROR(_xlfn.XLOOKUP(F124,TableLibraryBarriers[Type],TableLibraryBarriers[IFCEntity]),""))</f>
        <v/>
      </c>
      <c r="N124" t="str">
        <f>IF(F124="","",IFERROR(_xlfn.XLOOKUP(F124,TableLibraryBarriers[Type],TableLibraryBarriers[Material]),""))</f>
        <v/>
      </c>
      <c r="O124" t="str">
        <f>IF(F124="","",IFERROR(_xlfn.XLOOKUP(F124,TableLibraryBarriers[Type],TableLibraryBarriers[PostSpacing]),""))</f>
        <v/>
      </c>
      <c r="P124" t="str">
        <f>IF(F124="","",IFERROR(_xlfn.XLOOKUP(F124,TableLibraryBarriers[Type],TableLibraryBarriers[ModuleLength]),""))</f>
        <v/>
      </c>
      <c r="Q124" t="str">
        <f>IF(F124="","",IFERROR(_xlfn.XLOOKUP(F124,TableLibraryBarriers[Type],TableLibraryBarriers[Height]),""))</f>
        <v/>
      </c>
      <c r="R124" t="str">
        <f>IF(F124="","",IFERROR(_xlfn.XLOOKUP(F124,TableLibraryBarriers[Type],TableLibraryBarriers[Width]),""))</f>
        <v/>
      </c>
      <c r="S124" t="str">
        <f>IF(F124="","",IFERROR(_xlfn.XLOOKUP(F124,TableLibraryBarriers[Type],TableLibraryBarriers[ContainmentLevel]),""))</f>
        <v/>
      </c>
      <c r="T124" t="str">
        <f>IF(F124="","",IFERROR(_xlfn.XLOOKUP(F124,TableLibraryBarriers[Type],TableLibraryBarriers[WorkingWidth]),""))</f>
        <v/>
      </c>
      <c r="U124" t="str">
        <f>IF(F124="","",IFERROR(_xlfn.XLOOKUP(F124,TableLibraryBarriers[Type],TableLibraryBarriers[Layer]),""))</f>
        <v/>
      </c>
      <c r="V124" t="str">
        <f>IF(F124="","",IFERROR(_xlfn.XLOOKUP(F124,TableLibraryBarriers[Type],TableLibraryBarriers[TimeUnitLength(h)]),""))</f>
        <v/>
      </c>
      <c r="W124" t="str">
        <f>IF(F124="","",IFERROR(_xlfn.XLOOKUP(F124,TableLibraryBarriers[Type],TableLibraryBarriers[CostUnitLength]),""))</f>
        <v/>
      </c>
      <c r="X124" t="str">
        <f>IF(F124="","",IFERROR(_xlfn.XLOOKUP(F124,TableLibraryBarriers[Type],TableLibraryBarriers[Notes]),""))</f>
        <v/>
      </c>
      <c r="Y124" s="19"/>
      <c r="Z124" s="19"/>
    </row>
    <row r="125" spans="1:26">
      <c r="A125" t="str">
        <f t="shared" si="1"/>
        <v/>
      </c>
      <c r="C125" s="21"/>
      <c r="D125" s="21"/>
      <c r="E125" s="19"/>
      <c r="G125" s="16" t="str">
        <f>IF(BarriersTable[[#This Row],[PKStartValue]]="","",IF(C125="","",INT(C125/1000)&amp;"+"&amp;TEXT(MOD(C125,1000),"000.00")))</f>
        <v/>
      </c>
      <c r="H125" s="16" t="str">
        <f>IF(BarriersTable[[#This Row],[PKEndValue]]="","",IF(D125="","",INT(D125/1000)&amp;"+"&amp;TEXT(MOD(D125,1000),"000.00")))</f>
        <v/>
      </c>
      <c r="I125" t="str">
        <f>IF(F125="","",IFERROR(_xlfn.XLOOKUP(F125,TableLibraryBarriers[Type],TableLibraryBarriers[BarrierFamily]),""))</f>
        <v/>
      </c>
      <c r="J125" t="str">
        <f>IF(F125="","",IFERROR(_xlfn.XLOOKUP(F125,TableLibraryBarriers[Type],TableLibraryBarriers[BarrierType]),""))</f>
        <v/>
      </c>
      <c r="K125" t="str">
        <f>IF(F125="","",IFERROR(_xlfn.XLOOKUP(F125,TableLibraryBarriers[Type],TableLibraryBarriers[BlockLinear]),""))</f>
        <v/>
      </c>
      <c r="L125" t="str">
        <f>IF(F125="","",IFERROR(_xlfn.XLOOKUP(F125,TableLibraryBarriers[Type],TableLibraryBarriers[BlockPost]),""))</f>
        <v/>
      </c>
      <c r="M125" t="str">
        <f>IF(F125="","",IFERROR(_xlfn.XLOOKUP(F125,TableLibraryBarriers[Type],TableLibraryBarriers[IFCEntity]),""))</f>
        <v/>
      </c>
      <c r="N125" t="str">
        <f>IF(F125="","",IFERROR(_xlfn.XLOOKUP(F125,TableLibraryBarriers[Type],TableLibraryBarriers[Material]),""))</f>
        <v/>
      </c>
      <c r="O125" t="str">
        <f>IF(F125="","",IFERROR(_xlfn.XLOOKUP(F125,TableLibraryBarriers[Type],TableLibraryBarriers[PostSpacing]),""))</f>
        <v/>
      </c>
      <c r="P125" t="str">
        <f>IF(F125="","",IFERROR(_xlfn.XLOOKUP(F125,TableLibraryBarriers[Type],TableLibraryBarriers[ModuleLength]),""))</f>
        <v/>
      </c>
      <c r="Q125" t="str">
        <f>IF(F125="","",IFERROR(_xlfn.XLOOKUP(F125,TableLibraryBarriers[Type],TableLibraryBarriers[Height]),""))</f>
        <v/>
      </c>
      <c r="R125" t="str">
        <f>IF(F125="","",IFERROR(_xlfn.XLOOKUP(F125,TableLibraryBarriers[Type],TableLibraryBarriers[Width]),""))</f>
        <v/>
      </c>
      <c r="S125" t="str">
        <f>IF(F125="","",IFERROR(_xlfn.XLOOKUP(F125,TableLibraryBarriers[Type],TableLibraryBarriers[ContainmentLevel]),""))</f>
        <v/>
      </c>
      <c r="T125" t="str">
        <f>IF(F125="","",IFERROR(_xlfn.XLOOKUP(F125,TableLibraryBarriers[Type],TableLibraryBarriers[WorkingWidth]),""))</f>
        <v/>
      </c>
      <c r="U125" t="str">
        <f>IF(F125="","",IFERROR(_xlfn.XLOOKUP(F125,TableLibraryBarriers[Type],TableLibraryBarriers[Layer]),""))</f>
        <v/>
      </c>
      <c r="V125" t="str">
        <f>IF(F125="","",IFERROR(_xlfn.XLOOKUP(F125,TableLibraryBarriers[Type],TableLibraryBarriers[TimeUnitLength(h)]),""))</f>
        <v/>
      </c>
      <c r="W125" t="str">
        <f>IF(F125="","",IFERROR(_xlfn.XLOOKUP(F125,TableLibraryBarriers[Type],TableLibraryBarriers[CostUnitLength]),""))</f>
        <v/>
      </c>
      <c r="X125" t="str">
        <f>IF(F125="","",IFERROR(_xlfn.XLOOKUP(F125,TableLibraryBarriers[Type],TableLibraryBarriers[Notes]),""))</f>
        <v/>
      </c>
      <c r="Y125" s="19"/>
      <c r="Z125" s="19"/>
    </row>
    <row r="126" spans="1:26">
      <c r="A126" t="str">
        <f t="shared" si="1"/>
        <v/>
      </c>
      <c r="C126" s="21"/>
      <c r="D126" s="21"/>
      <c r="E126" s="19"/>
      <c r="G126" s="16" t="str">
        <f>IF(BarriersTable[[#This Row],[PKStartValue]]="","",IF(C126="","",INT(C126/1000)&amp;"+"&amp;TEXT(MOD(C126,1000),"000.00")))</f>
        <v/>
      </c>
      <c r="H126" s="16" t="str">
        <f>IF(BarriersTable[[#This Row],[PKEndValue]]="","",IF(D126="","",INT(D126/1000)&amp;"+"&amp;TEXT(MOD(D126,1000),"000.00")))</f>
        <v/>
      </c>
      <c r="I126" t="str">
        <f>IF(F126="","",IFERROR(_xlfn.XLOOKUP(F126,TableLibraryBarriers[Type],TableLibraryBarriers[BarrierFamily]),""))</f>
        <v/>
      </c>
      <c r="J126" t="str">
        <f>IF(F126="","",IFERROR(_xlfn.XLOOKUP(F126,TableLibraryBarriers[Type],TableLibraryBarriers[BarrierType]),""))</f>
        <v/>
      </c>
      <c r="K126" t="str">
        <f>IF(F126="","",IFERROR(_xlfn.XLOOKUP(F126,TableLibraryBarriers[Type],TableLibraryBarriers[BlockLinear]),""))</f>
        <v/>
      </c>
      <c r="L126" t="str">
        <f>IF(F126="","",IFERROR(_xlfn.XLOOKUP(F126,TableLibraryBarriers[Type],TableLibraryBarriers[BlockPost]),""))</f>
        <v/>
      </c>
      <c r="M126" t="str">
        <f>IF(F126="","",IFERROR(_xlfn.XLOOKUP(F126,TableLibraryBarriers[Type],TableLibraryBarriers[IFCEntity]),""))</f>
        <v/>
      </c>
      <c r="N126" t="str">
        <f>IF(F126="","",IFERROR(_xlfn.XLOOKUP(F126,TableLibraryBarriers[Type],TableLibraryBarriers[Material]),""))</f>
        <v/>
      </c>
      <c r="O126" t="str">
        <f>IF(F126="","",IFERROR(_xlfn.XLOOKUP(F126,TableLibraryBarriers[Type],TableLibraryBarriers[PostSpacing]),""))</f>
        <v/>
      </c>
      <c r="P126" t="str">
        <f>IF(F126="","",IFERROR(_xlfn.XLOOKUP(F126,TableLibraryBarriers[Type],TableLibraryBarriers[ModuleLength]),""))</f>
        <v/>
      </c>
      <c r="Q126" t="str">
        <f>IF(F126="","",IFERROR(_xlfn.XLOOKUP(F126,TableLibraryBarriers[Type],TableLibraryBarriers[Height]),""))</f>
        <v/>
      </c>
      <c r="R126" t="str">
        <f>IF(F126="","",IFERROR(_xlfn.XLOOKUP(F126,TableLibraryBarriers[Type],TableLibraryBarriers[Width]),""))</f>
        <v/>
      </c>
      <c r="S126" t="str">
        <f>IF(F126="","",IFERROR(_xlfn.XLOOKUP(F126,TableLibraryBarriers[Type],TableLibraryBarriers[ContainmentLevel]),""))</f>
        <v/>
      </c>
      <c r="T126" t="str">
        <f>IF(F126="","",IFERROR(_xlfn.XLOOKUP(F126,TableLibraryBarriers[Type],TableLibraryBarriers[WorkingWidth]),""))</f>
        <v/>
      </c>
      <c r="U126" t="str">
        <f>IF(F126="","",IFERROR(_xlfn.XLOOKUP(F126,TableLibraryBarriers[Type],TableLibraryBarriers[Layer]),""))</f>
        <v/>
      </c>
      <c r="V126" t="str">
        <f>IF(F126="","",IFERROR(_xlfn.XLOOKUP(F126,TableLibraryBarriers[Type],TableLibraryBarriers[TimeUnitLength(h)]),""))</f>
        <v/>
      </c>
      <c r="W126" t="str">
        <f>IF(F126="","",IFERROR(_xlfn.XLOOKUP(F126,TableLibraryBarriers[Type],TableLibraryBarriers[CostUnitLength]),""))</f>
        <v/>
      </c>
      <c r="X126" t="str">
        <f>IF(F126="","",IFERROR(_xlfn.XLOOKUP(F126,TableLibraryBarriers[Type],TableLibraryBarriers[Notes]),""))</f>
        <v/>
      </c>
      <c r="Y126" s="19"/>
      <c r="Z126" s="19"/>
    </row>
    <row r="127" spans="1:26">
      <c r="A127" t="str">
        <f t="shared" si="1"/>
        <v/>
      </c>
      <c r="C127" s="21"/>
      <c r="D127" s="21"/>
      <c r="E127" s="19"/>
      <c r="G127" s="16" t="str">
        <f>IF(BarriersTable[[#This Row],[PKStartValue]]="","",IF(C127="","",INT(C127/1000)&amp;"+"&amp;TEXT(MOD(C127,1000),"000.00")))</f>
        <v/>
      </c>
      <c r="H127" s="16" t="str">
        <f>IF(BarriersTable[[#This Row],[PKEndValue]]="","",IF(D127="","",INT(D127/1000)&amp;"+"&amp;TEXT(MOD(D127,1000),"000.00")))</f>
        <v/>
      </c>
      <c r="I127" t="str">
        <f>IF(F127="","",IFERROR(_xlfn.XLOOKUP(F127,TableLibraryBarriers[Type],TableLibraryBarriers[BarrierFamily]),""))</f>
        <v/>
      </c>
      <c r="J127" t="str">
        <f>IF(F127="","",IFERROR(_xlfn.XLOOKUP(F127,TableLibraryBarriers[Type],TableLibraryBarriers[BarrierType]),""))</f>
        <v/>
      </c>
      <c r="K127" t="str">
        <f>IF(F127="","",IFERROR(_xlfn.XLOOKUP(F127,TableLibraryBarriers[Type],TableLibraryBarriers[BlockLinear]),""))</f>
        <v/>
      </c>
      <c r="L127" t="str">
        <f>IF(F127="","",IFERROR(_xlfn.XLOOKUP(F127,TableLibraryBarriers[Type],TableLibraryBarriers[BlockPost]),""))</f>
        <v/>
      </c>
      <c r="M127" t="str">
        <f>IF(F127="","",IFERROR(_xlfn.XLOOKUP(F127,TableLibraryBarriers[Type],TableLibraryBarriers[IFCEntity]),""))</f>
        <v/>
      </c>
      <c r="N127" t="str">
        <f>IF(F127="","",IFERROR(_xlfn.XLOOKUP(F127,TableLibraryBarriers[Type],TableLibraryBarriers[Material]),""))</f>
        <v/>
      </c>
      <c r="O127" t="str">
        <f>IF(F127="","",IFERROR(_xlfn.XLOOKUP(F127,TableLibraryBarriers[Type],TableLibraryBarriers[PostSpacing]),""))</f>
        <v/>
      </c>
      <c r="P127" t="str">
        <f>IF(F127="","",IFERROR(_xlfn.XLOOKUP(F127,TableLibraryBarriers[Type],TableLibraryBarriers[ModuleLength]),""))</f>
        <v/>
      </c>
      <c r="Q127" t="str">
        <f>IF(F127="","",IFERROR(_xlfn.XLOOKUP(F127,TableLibraryBarriers[Type],TableLibraryBarriers[Height]),""))</f>
        <v/>
      </c>
      <c r="R127" t="str">
        <f>IF(F127="","",IFERROR(_xlfn.XLOOKUP(F127,TableLibraryBarriers[Type],TableLibraryBarriers[Width]),""))</f>
        <v/>
      </c>
      <c r="S127" t="str">
        <f>IF(F127="","",IFERROR(_xlfn.XLOOKUP(F127,TableLibraryBarriers[Type],TableLibraryBarriers[ContainmentLevel]),""))</f>
        <v/>
      </c>
      <c r="T127" t="str">
        <f>IF(F127="","",IFERROR(_xlfn.XLOOKUP(F127,TableLibraryBarriers[Type],TableLibraryBarriers[WorkingWidth]),""))</f>
        <v/>
      </c>
      <c r="U127" t="str">
        <f>IF(F127="","",IFERROR(_xlfn.XLOOKUP(F127,TableLibraryBarriers[Type],TableLibraryBarriers[Layer]),""))</f>
        <v/>
      </c>
      <c r="V127" t="str">
        <f>IF(F127="","",IFERROR(_xlfn.XLOOKUP(F127,TableLibraryBarriers[Type],TableLibraryBarriers[TimeUnitLength(h)]),""))</f>
        <v/>
      </c>
      <c r="W127" t="str">
        <f>IF(F127="","",IFERROR(_xlfn.XLOOKUP(F127,TableLibraryBarriers[Type],TableLibraryBarriers[CostUnitLength]),""))</f>
        <v/>
      </c>
      <c r="X127" t="str">
        <f>IF(F127="","",IFERROR(_xlfn.XLOOKUP(F127,TableLibraryBarriers[Type],TableLibraryBarriers[Notes]),""))</f>
        <v/>
      </c>
      <c r="Y127" s="19"/>
      <c r="Z127" s="19"/>
    </row>
    <row r="128" spans="1:26">
      <c r="A128" t="str">
        <f t="shared" si="1"/>
        <v/>
      </c>
      <c r="C128" s="21"/>
      <c r="D128" s="21"/>
      <c r="E128" s="19"/>
      <c r="G128" s="16" t="str">
        <f>IF(BarriersTable[[#This Row],[PKStartValue]]="","",IF(C128="","",INT(C128/1000)&amp;"+"&amp;TEXT(MOD(C128,1000),"000.00")))</f>
        <v/>
      </c>
      <c r="H128" s="16" t="str">
        <f>IF(BarriersTable[[#This Row],[PKEndValue]]="","",IF(D128="","",INT(D128/1000)&amp;"+"&amp;TEXT(MOD(D128,1000),"000.00")))</f>
        <v/>
      </c>
      <c r="I128" t="str">
        <f>IF(F128="","",IFERROR(_xlfn.XLOOKUP(F128,TableLibraryBarriers[Type],TableLibraryBarriers[BarrierFamily]),""))</f>
        <v/>
      </c>
      <c r="J128" t="str">
        <f>IF(F128="","",IFERROR(_xlfn.XLOOKUP(F128,TableLibraryBarriers[Type],TableLibraryBarriers[BarrierType]),""))</f>
        <v/>
      </c>
      <c r="K128" t="str">
        <f>IF(F128="","",IFERROR(_xlfn.XLOOKUP(F128,TableLibraryBarriers[Type],TableLibraryBarriers[BlockLinear]),""))</f>
        <v/>
      </c>
      <c r="L128" t="str">
        <f>IF(F128="","",IFERROR(_xlfn.XLOOKUP(F128,TableLibraryBarriers[Type],TableLibraryBarriers[BlockPost]),""))</f>
        <v/>
      </c>
      <c r="M128" t="str">
        <f>IF(F128="","",IFERROR(_xlfn.XLOOKUP(F128,TableLibraryBarriers[Type],TableLibraryBarriers[IFCEntity]),""))</f>
        <v/>
      </c>
      <c r="N128" t="str">
        <f>IF(F128="","",IFERROR(_xlfn.XLOOKUP(F128,TableLibraryBarriers[Type],TableLibraryBarriers[Material]),""))</f>
        <v/>
      </c>
      <c r="O128" t="str">
        <f>IF(F128="","",IFERROR(_xlfn.XLOOKUP(F128,TableLibraryBarriers[Type],TableLibraryBarriers[PostSpacing]),""))</f>
        <v/>
      </c>
      <c r="P128" t="str">
        <f>IF(F128="","",IFERROR(_xlfn.XLOOKUP(F128,TableLibraryBarriers[Type],TableLibraryBarriers[ModuleLength]),""))</f>
        <v/>
      </c>
      <c r="Q128" t="str">
        <f>IF(F128="","",IFERROR(_xlfn.XLOOKUP(F128,TableLibraryBarriers[Type],TableLibraryBarriers[Height]),""))</f>
        <v/>
      </c>
      <c r="R128" t="str">
        <f>IF(F128="","",IFERROR(_xlfn.XLOOKUP(F128,TableLibraryBarriers[Type],TableLibraryBarriers[Width]),""))</f>
        <v/>
      </c>
      <c r="S128" t="str">
        <f>IF(F128="","",IFERROR(_xlfn.XLOOKUP(F128,TableLibraryBarriers[Type],TableLibraryBarriers[ContainmentLevel]),""))</f>
        <v/>
      </c>
      <c r="T128" t="str">
        <f>IF(F128="","",IFERROR(_xlfn.XLOOKUP(F128,TableLibraryBarriers[Type],TableLibraryBarriers[WorkingWidth]),""))</f>
        <v/>
      </c>
      <c r="U128" t="str">
        <f>IF(F128="","",IFERROR(_xlfn.XLOOKUP(F128,TableLibraryBarriers[Type],TableLibraryBarriers[Layer]),""))</f>
        <v/>
      </c>
      <c r="V128" t="str">
        <f>IF(F128="","",IFERROR(_xlfn.XLOOKUP(F128,TableLibraryBarriers[Type],TableLibraryBarriers[TimeUnitLength(h)]),""))</f>
        <v/>
      </c>
      <c r="W128" t="str">
        <f>IF(F128="","",IFERROR(_xlfn.XLOOKUP(F128,TableLibraryBarriers[Type],TableLibraryBarriers[CostUnitLength]),""))</f>
        <v/>
      </c>
      <c r="X128" t="str">
        <f>IF(F128="","",IFERROR(_xlfn.XLOOKUP(F128,TableLibraryBarriers[Type],TableLibraryBarriers[Notes]),""))</f>
        <v/>
      </c>
      <c r="Y128" s="19"/>
      <c r="Z128" s="19"/>
    </row>
    <row r="129" spans="1:26">
      <c r="A129" t="str">
        <f t="shared" si="1"/>
        <v/>
      </c>
      <c r="C129" s="21"/>
      <c r="D129" s="21"/>
      <c r="E129" s="19"/>
      <c r="G129" s="16" t="str">
        <f>IF(BarriersTable[[#This Row],[PKStartValue]]="","",IF(C129="","",INT(C129/1000)&amp;"+"&amp;TEXT(MOD(C129,1000),"000.00")))</f>
        <v/>
      </c>
      <c r="H129" s="16" t="str">
        <f>IF(BarriersTable[[#This Row],[PKEndValue]]="","",IF(D129="","",INT(D129/1000)&amp;"+"&amp;TEXT(MOD(D129,1000),"000.00")))</f>
        <v/>
      </c>
      <c r="I129" t="str">
        <f>IF(F129="","",IFERROR(_xlfn.XLOOKUP(F129,TableLibraryBarriers[Type],TableLibraryBarriers[BarrierFamily]),""))</f>
        <v/>
      </c>
      <c r="J129" t="str">
        <f>IF(F129="","",IFERROR(_xlfn.XLOOKUP(F129,TableLibraryBarriers[Type],TableLibraryBarriers[BarrierType]),""))</f>
        <v/>
      </c>
      <c r="K129" t="str">
        <f>IF(F129="","",IFERROR(_xlfn.XLOOKUP(F129,TableLibraryBarriers[Type],TableLibraryBarriers[BlockLinear]),""))</f>
        <v/>
      </c>
      <c r="L129" t="str">
        <f>IF(F129="","",IFERROR(_xlfn.XLOOKUP(F129,TableLibraryBarriers[Type],TableLibraryBarriers[BlockPost]),""))</f>
        <v/>
      </c>
      <c r="M129" t="str">
        <f>IF(F129="","",IFERROR(_xlfn.XLOOKUP(F129,TableLibraryBarriers[Type],TableLibraryBarriers[IFCEntity]),""))</f>
        <v/>
      </c>
      <c r="N129" t="str">
        <f>IF(F129="","",IFERROR(_xlfn.XLOOKUP(F129,TableLibraryBarriers[Type],TableLibraryBarriers[Material]),""))</f>
        <v/>
      </c>
      <c r="O129" t="str">
        <f>IF(F129="","",IFERROR(_xlfn.XLOOKUP(F129,TableLibraryBarriers[Type],TableLibraryBarriers[PostSpacing]),""))</f>
        <v/>
      </c>
      <c r="P129" t="str">
        <f>IF(F129="","",IFERROR(_xlfn.XLOOKUP(F129,TableLibraryBarriers[Type],TableLibraryBarriers[ModuleLength]),""))</f>
        <v/>
      </c>
      <c r="Q129" t="str">
        <f>IF(F129="","",IFERROR(_xlfn.XLOOKUP(F129,TableLibraryBarriers[Type],TableLibraryBarriers[Height]),""))</f>
        <v/>
      </c>
      <c r="R129" t="str">
        <f>IF(F129="","",IFERROR(_xlfn.XLOOKUP(F129,TableLibraryBarriers[Type],TableLibraryBarriers[Width]),""))</f>
        <v/>
      </c>
      <c r="S129" t="str">
        <f>IF(F129="","",IFERROR(_xlfn.XLOOKUP(F129,TableLibraryBarriers[Type],TableLibraryBarriers[ContainmentLevel]),""))</f>
        <v/>
      </c>
      <c r="T129" t="str">
        <f>IF(F129="","",IFERROR(_xlfn.XLOOKUP(F129,TableLibraryBarriers[Type],TableLibraryBarriers[WorkingWidth]),""))</f>
        <v/>
      </c>
      <c r="U129" t="str">
        <f>IF(F129="","",IFERROR(_xlfn.XLOOKUP(F129,TableLibraryBarriers[Type],TableLibraryBarriers[Layer]),""))</f>
        <v/>
      </c>
      <c r="V129" t="str">
        <f>IF(F129="","",IFERROR(_xlfn.XLOOKUP(F129,TableLibraryBarriers[Type],TableLibraryBarriers[TimeUnitLength(h)]),""))</f>
        <v/>
      </c>
      <c r="W129" t="str">
        <f>IF(F129="","",IFERROR(_xlfn.XLOOKUP(F129,TableLibraryBarriers[Type],TableLibraryBarriers[CostUnitLength]),""))</f>
        <v/>
      </c>
      <c r="X129" t="str">
        <f>IF(F129="","",IFERROR(_xlfn.XLOOKUP(F129,TableLibraryBarriers[Type],TableLibraryBarriers[Notes]),""))</f>
        <v/>
      </c>
      <c r="Y129" s="19"/>
      <c r="Z129" s="19"/>
    </row>
    <row r="130" spans="1:26">
      <c r="A130" t="str">
        <f t="shared" ref="A130:A193" si="2">IF(B130="","","B"&amp;TEXT(ROW()-1,"000"))</f>
        <v/>
      </c>
      <c r="C130" s="21"/>
      <c r="D130" s="21"/>
      <c r="E130" s="19"/>
      <c r="G130" s="16" t="str">
        <f>IF(BarriersTable[[#This Row],[PKStartValue]]="","",IF(C130="","",INT(C130/1000)&amp;"+"&amp;TEXT(MOD(C130,1000),"000.00")))</f>
        <v/>
      </c>
      <c r="H130" s="16" t="str">
        <f>IF(BarriersTable[[#This Row],[PKEndValue]]="","",IF(D130="","",INT(D130/1000)&amp;"+"&amp;TEXT(MOD(D130,1000),"000.00")))</f>
        <v/>
      </c>
      <c r="I130" t="str">
        <f>IF(F130="","",IFERROR(_xlfn.XLOOKUP(F130,TableLibraryBarriers[Type],TableLibraryBarriers[BarrierFamily]),""))</f>
        <v/>
      </c>
      <c r="J130" t="str">
        <f>IF(F130="","",IFERROR(_xlfn.XLOOKUP(F130,TableLibraryBarriers[Type],TableLibraryBarriers[BarrierType]),""))</f>
        <v/>
      </c>
      <c r="K130" t="str">
        <f>IF(F130="","",IFERROR(_xlfn.XLOOKUP(F130,TableLibraryBarriers[Type],TableLibraryBarriers[BlockLinear]),""))</f>
        <v/>
      </c>
      <c r="L130" t="str">
        <f>IF(F130="","",IFERROR(_xlfn.XLOOKUP(F130,TableLibraryBarriers[Type],TableLibraryBarriers[BlockPost]),""))</f>
        <v/>
      </c>
      <c r="M130" t="str">
        <f>IF(F130="","",IFERROR(_xlfn.XLOOKUP(F130,TableLibraryBarriers[Type],TableLibraryBarriers[IFCEntity]),""))</f>
        <v/>
      </c>
      <c r="N130" t="str">
        <f>IF(F130="","",IFERROR(_xlfn.XLOOKUP(F130,TableLibraryBarriers[Type],TableLibraryBarriers[Material]),""))</f>
        <v/>
      </c>
      <c r="O130" t="str">
        <f>IF(F130="","",IFERROR(_xlfn.XLOOKUP(F130,TableLibraryBarriers[Type],TableLibraryBarriers[PostSpacing]),""))</f>
        <v/>
      </c>
      <c r="P130" t="str">
        <f>IF(F130="","",IFERROR(_xlfn.XLOOKUP(F130,TableLibraryBarriers[Type],TableLibraryBarriers[ModuleLength]),""))</f>
        <v/>
      </c>
      <c r="Q130" t="str">
        <f>IF(F130="","",IFERROR(_xlfn.XLOOKUP(F130,TableLibraryBarriers[Type],TableLibraryBarriers[Height]),""))</f>
        <v/>
      </c>
      <c r="R130" t="str">
        <f>IF(F130="","",IFERROR(_xlfn.XLOOKUP(F130,TableLibraryBarriers[Type],TableLibraryBarriers[Width]),""))</f>
        <v/>
      </c>
      <c r="S130" t="str">
        <f>IF(F130="","",IFERROR(_xlfn.XLOOKUP(F130,TableLibraryBarriers[Type],TableLibraryBarriers[ContainmentLevel]),""))</f>
        <v/>
      </c>
      <c r="T130" t="str">
        <f>IF(F130="","",IFERROR(_xlfn.XLOOKUP(F130,TableLibraryBarriers[Type],TableLibraryBarriers[WorkingWidth]),""))</f>
        <v/>
      </c>
      <c r="U130" t="str">
        <f>IF(F130="","",IFERROR(_xlfn.XLOOKUP(F130,TableLibraryBarriers[Type],TableLibraryBarriers[Layer]),""))</f>
        <v/>
      </c>
      <c r="V130" t="str">
        <f>IF(F130="","",IFERROR(_xlfn.XLOOKUP(F130,TableLibraryBarriers[Type],TableLibraryBarriers[TimeUnitLength(h)]),""))</f>
        <v/>
      </c>
      <c r="W130" t="str">
        <f>IF(F130="","",IFERROR(_xlfn.XLOOKUP(F130,TableLibraryBarriers[Type],TableLibraryBarriers[CostUnitLength]),""))</f>
        <v/>
      </c>
      <c r="X130" t="str">
        <f>IF(F130="","",IFERROR(_xlfn.XLOOKUP(F130,TableLibraryBarriers[Type],TableLibraryBarriers[Notes]),""))</f>
        <v/>
      </c>
      <c r="Y130" s="19"/>
      <c r="Z130" s="19"/>
    </row>
    <row r="131" spans="1:26">
      <c r="A131" t="str">
        <f t="shared" si="2"/>
        <v/>
      </c>
      <c r="C131" s="21"/>
      <c r="D131" s="21"/>
      <c r="E131" s="19"/>
      <c r="G131" s="16" t="str">
        <f>IF(BarriersTable[[#This Row],[PKStartValue]]="","",IF(C131="","",INT(C131/1000)&amp;"+"&amp;TEXT(MOD(C131,1000),"000.00")))</f>
        <v/>
      </c>
      <c r="H131" s="16" t="str">
        <f>IF(BarriersTable[[#This Row],[PKEndValue]]="","",IF(D131="","",INT(D131/1000)&amp;"+"&amp;TEXT(MOD(D131,1000),"000.00")))</f>
        <v/>
      </c>
      <c r="I131" t="str">
        <f>IF(F131="","",IFERROR(_xlfn.XLOOKUP(F131,TableLibraryBarriers[Type],TableLibraryBarriers[BarrierFamily]),""))</f>
        <v/>
      </c>
      <c r="J131" t="str">
        <f>IF(F131="","",IFERROR(_xlfn.XLOOKUP(F131,TableLibraryBarriers[Type],TableLibraryBarriers[BarrierType]),""))</f>
        <v/>
      </c>
      <c r="K131" t="str">
        <f>IF(F131="","",IFERROR(_xlfn.XLOOKUP(F131,TableLibraryBarriers[Type],TableLibraryBarriers[BlockLinear]),""))</f>
        <v/>
      </c>
      <c r="L131" t="str">
        <f>IF(F131="","",IFERROR(_xlfn.XLOOKUP(F131,TableLibraryBarriers[Type],TableLibraryBarriers[BlockPost]),""))</f>
        <v/>
      </c>
      <c r="M131" t="str">
        <f>IF(F131="","",IFERROR(_xlfn.XLOOKUP(F131,TableLibraryBarriers[Type],TableLibraryBarriers[IFCEntity]),""))</f>
        <v/>
      </c>
      <c r="N131" t="str">
        <f>IF(F131="","",IFERROR(_xlfn.XLOOKUP(F131,TableLibraryBarriers[Type],TableLibraryBarriers[Material]),""))</f>
        <v/>
      </c>
      <c r="O131" t="str">
        <f>IF(F131="","",IFERROR(_xlfn.XLOOKUP(F131,TableLibraryBarriers[Type],TableLibraryBarriers[PostSpacing]),""))</f>
        <v/>
      </c>
      <c r="P131" t="str">
        <f>IF(F131="","",IFERROR(_xlfn.XLOOKUP(F131,TableLibraryBarriers[Type],TableLibraryBarriers[ModuleLength]),""))</f>
        <v/>
      </c>
      <c r="Q131" t="str">
        <f>IF(F131="","",IFERROR(_xlfn.XLOOKUP(F131,TableLibraryBarriers[Type],TableLibraryBarriers[Height]),""))</f>
        <v/>
      </c>
      <c r="R131" t="str">
        <f>IF(F131="","",IFERROR(_xlfn.XLOOKUP(F131,TableLibraryBarriers[Type],TableLibraryBarriers[Width]),""))</f>
        <v/>
      </c>
      <c r="S131" t="str">
        <f>IF(F131="","",IFERROR(_xlfn.XLOOKUP(F131,TableLibraryBarriers[Type],TableLibraryBarriers[ContainmentLevel]),""))</f>
        <v/>
      </c>
      <c r="T131" t="str">
        <f>IF(F131="","",IFERROR(_xlfn.XLOOKUP(F131,TableLibraryBarriers[Type],TableLibraryBarriers[WorkingWidth]),""))</f>
        <v/>
      </c>
      <c r="U131" t="str">
        <f>IF(F131="","",IFERROR(_xlfn.XLOOKUP(F131,TableLibraryBarriers[Type],TableLibraryBarriers[Layer]),""))</f>
        <v/>
      </c>
      <c r="V131" t="str">
        <f>IF(F131="","",IFERROR(_xlfn.XLOOKUP(F131,TableLibraryBarriers[Type],TableLibraryBarriers[TimeUnitLength(h)]),""))</f>
        <v/>
      </c>
      <c r="W131" t="str">
        <f>IF(F131="","",IFERROR(_xlfn.XLOOKUP(F131,TableLibraryBarriers[Type],TableLibraryBarriers[CostUnitLength]),""))</f>
        <v/>
      </c>
      <c r="X131" t="str">
        <f>IF(F131="","",IFERROR(_xlfn.XLOOKUP(F131,TableLibraryBarriers[Type],TableLibraryBarriers[Notes]),""))</f>
        <v/>
      </c>
      <c r="Y131" s="19"/>
      <c r="Z131" s="19"/>
    </row>
    <row r="132" spans="1:26">
      <c r="A132" t="str">
        <f t="shared" si="2"/>
        <v/>
      </c>
      <c r="C132" s="21"/>
      <c r="D132" s="21"/>
      <c r="E132" s="19"/>
      <c r="G132" s="16" t="str">
        <f>IF(BarriersTable[[#This Row],[PKStartValue]]="","",IF(C132="","",INT(C132/1000)&amp;"+"&amp;TEXT(MOD(C132,1000),"000.00")))</f>
        <v/>
      </c>
      <c r="H132" s="16" t="str">
        <f>IF(BarriersTable[[#This Row],[PKEndValue]]="","",IF(D132="","",INT(D132/1000)&amp;"+"&amp;TEXT(MOD(D132,1000),"000.00")))</f>
        <v/>
      </c>
      <c r="I132" t="str">
        <f>IF(F132="","",IFERROR(_xlfn.XLOOKUP(F132,TableLibraryBarriers[Type],TableLibraryBarriers[BarrierFamily]),""))</f>
        <v/>
      </c>
      <c r="J132" t="str">
        <f>IF(F132="","",IFERROR(_xlfn.XLOOKUP(F132,TableLibraryBarriers[Type],TableLibraryBarriers[BarrierType]),""))</f>
        <v/>
      </c>
      <c r="K132" t="str">
        <f>IF(F132="","",IFERROR(_xlfn.XLOOKUP(F132,TableLibraryBarriers[Type],TableLibraryBarriers[BlockLinear]),""))</f>
        <v/>
      </c>
      <c r="L132" t="str">
        <f>IF(F132="","",IFERROR(_xlfn.XLOOKUP(F132,TableLibraryBarriers[Type],TableLibraryBarriers[BlockPost]),""))</f>
        <v/>
      </c>
      <c r="M132" t="str">
        <f>IF(F132="","",IFERROR(_xlfn.XLOOKUP(F132,TableLibraryBarriers[Type],TableLibraryBarriers[IFCEntity]),""))</f>
        <v/>
      </c>
      <c r="N132" t="str">
        <f>IF(F132="","",IFERROR(_xlfn.XLOOKUP(F132,TableLibraryBarriers[Type],TableLibraryBarriers[Material]),""))</f>
        <v/>
      </c>
      <c r="O132" t="str">
        <f>IF(F132="","",IFERROR(_xlfn.XLOOKUP(F132,TableLibraryBarriers[Type],TableLibraryBarriers[PostSpacing]),""))</f>
        <v/>
      </c>
      <c r="P132" t="str">
        <f>IF(F132="","",IFERROR(_xlfn.XLOOKUP(F132,TableLibraryBarriers[Type],TableLibraryBarriers[ModuleLength]),""))</f>
        <v/>
      </c>
      <c r="Q132" t="str">
        <f>IF(F132="","",IFERROR(_xlfn.XLOOKUP(F132,TableLibraryBarriers[Type],TableLibraryBarriers[Height]),""))</f>
        <v/>
      </c>
      <c r="R132" t="str">
        <f>IF(F132="","",IFERROR(_xlfn.XLOOKUP(F132,TableLibraryBarriers[Type],TableLibraryBarriers[Width]),""))</f>
        <v/>
      </c>
      <c r="S132" t="str">
        <f>IF(F132="","",IFERROR(_xlfn.XLOOKUP(F132,TableLibraryBarriers[Type],TableLibraryBarriers[ContainmentLevel]),""))</f>
        <v/>
      </c>
      <c r="T132" t="str">
        <f>IF(F132="","",IFERROR(_xlfn.XLOOKUP(F132,TableLibraryBarriers[Type],TableLibraryBarriers[WorkingWidth]),""))</f>
        <v/>
      </c>
      <c r="U132" t="str">
        <f>IF(F132="","",IFERROR(_xlfn.XLOOKUP(F132,TableLibraryBarriers[Type],TableLibraryBarriers[Layer]),""))</f>
        <v/>
      </c>
      <c r="V132" t="str">
        <f>IF(F132="","",IFERROR(_xlfn.XLOOKUP(F132,TableLibraryBarriers[Type],TableLibraryBarriers[TimeUnitLength(h)]),""))</f>
        <v/>
      </c>
      <c r="W132" t="str">
        <f>IF(F132="","",IFERROR(_xlfn.XLOOKUP(F132,TableLibraryBarriers[Type],TableLibraryBarriers[CostUnitLength]),""))</f>
        <v/>
      </c>
      <c r="X132" t="str">
        <f>IF(F132="","",IFERROR(_xlfn.XLOOKUP(F132,TableLibraryBarriers[Type],TableLibraryBarriers[Notes]),""))</f>
        <v/>
      </c>
      <c r="Y132" s="19"/>
      <c r="Z132" s="19"/>
    </row>
    <row r="133" spans="1:26">
      <c r="A133" t="str">
        <f t="shared" si="2"/>
        <v/>
      </c>
      <c r="C133" s="21"/>
      <c r="D133" s="21"/>
      <c r="E133" s="19"/>
      <c r="G133" s="16" t="str">
        <f>IF(BarriersTable[[#This Row],[PKStartValue]]="","",IF(C133="","",INT(C133/1000)&amp;"+"&amp;TEXT(MOD(C133,1000),"000.00")))</f>
        <v/>
      </c>
      <c r="H133" s="16" t="str">
        <f>IF(BarriersTable[[#This Row],[PKEndValue]]="","",IF(D133="","",INT(D133/1000)&amp;"+"&amp;TEXT(MOD(D133,1000),"000.00")))</f>
        <v/>
      </c>
      <c r="I133" t="str">
        <f>IF(F133="","",IFERROR(_xlfn.XLOOKUP(F133,TableLibraryBarriers[Type],TableLibraryBarriers[BarrierFamily]),""))</f>
        <v/>
      </c>
      <c r="J133" t="str">
        <f>IF(F133="","",IFERROR(_xlfn.XLOOKUP(F133,TableLibraryBarriers[Type],TableLibraryBarriers[BarrierType]),""))</f>
        <v/>
      </c>
      <c r="K133" t="str">
        <f>IF(F133="","",IFERROR(_xlfn.XLOOKUP(F133,TableLibraryBarriers[Type],TableLibraryBarriers[BlockLinear]),""))</f>
        <v/>
      </c>
      <c r="L133" t="str">
        <f>IF(F133="","",IFERROR(_xlfn.XLOOKUP(F133,TableLibraryBarriers[Type],TableLibraryBarriers[BlockPost]),""))</f>
        <v/>
      </c>
      <c r="M133" t="str">
        <f>IF(F133="","",IFERROR(_xlfn.XLOOKUP(F133,TableLibraryBarriers[Type],TableLibraryBarriers[IFCEntity]),""))</f>
        <v/>
      </c>
      <c r="N133" t="str">
        <f>IF(F133="","",IFERROR(_xlfn.XLOOKUP(F133,TableLibraryBarriers[Type],TableLibraryBarriers[Material]),""))</f>
        <v/>
      </c>
      <c r="O133" t="str">
        <f>IF(F133="","",IFERROR(_xlfn.XLOOKUP(F133,TableLibraryBarriers[Type],TableLibraryBarriers[PostSpacing]),""))</f>
        <v/>
      </c>
      <c r="P133" t="str">
        <f>IF(F133="","",IFERROR(_xlfn.XLOOKUP(F133,TableLibraryBarriers[Type],TableLibraryBarriers[ModuleLength]),""))</f>
        <v/>
      </c>
      <c r="Q133" t="str">
        <f>IF(F133="","",IFERROR(_xlfn.XLOOKUP(F133,TableLibraryBarriers[Type],TableLibraryBarriers[Height]),""))</f>
        <v/>
      </c>
      <c r="R133" t="str">
        <f>IF(F133="","",IFERROR(_xlfn.XLOOKUP(F133,TableLibraryBarriers[Type],TableLibraryBarriers[Width]),""))</f>
        <v/>
      </c>
      <c r="S133" t="str">
        <f>IF(F133="","",IFERROR(_xlfn.XLOOKUP(F133,TableLibraryBarriers[Type],TableLibraryBarriers[ContainmentLevel]),""))</f>
        <v/>
      </c>
      <c r="T133" t="str">
        <f>IF(F133="","",IFERROR(_xlfn.XLOOKUP(F133,TableLibraryBarriers[Type],TableLibraryBarriers[WorkingWidth]),""))</f>
        <v/>
      </c>
      <c r="U133" t="str">
        <f>IF(F133="","",IFERROR(_xlfn.XLOOKUP(F133,TableLibraryBarriers[Type],TableLibraryBarriers[Layer]),""))</f>
        <v/>
      </c>
      <c r="V133" t="str">
        <f>IF(F133="","",IFERROR(_xlfn.XLOOKUP(F133,TableLibraryBarriers[Type],TableLibraryBarriers[TimeUnitLength(h)]),""))</f>
        <v/>
      </c>
      <c r="W133" t="str">
        <f>IF(F133="","",IFERROR(_xlfn.XLOOKUP(F133,TableLibraryBarriers[Type],TableLibraryBarriers[CostUnitLength]),""))</f>
        <v/>
      </c>
      <c r="X133" t="str">
        <f>IF(F133="","",IFERROR(_xlfn.XLOOKUP(F133,TableLibraryBarriers[Type],TableLibraryBarriers[Notes]),""))</f>
        <v/>
      </c>
      <c r="Y133" s="19"/>
      <c r="Z133" s="19"/>
    </row>
    <row r="134" spans="1:26">
      <c r="A134" t="str">
        <f t="shared" si="2"/>
        <v/>
      </c>
      <c r="C134" s="21"/>
      <c r="D134" s="21"/>
      <c r="E134" s="19"/>
      <c r="G134" s="16" t="str">
        <f>IF(BarriersTable[[#This Row],[PKStartValue]]="","",IF(C134="","",INT(C134/1000)&amp;"+"&amp;TEXT(MOD(C134,1000),"000.00")))</f>
        <v/>
      </c>
      <c r="H134" s="16" t="str">
        <f>IF(BarriersTable[[#This Row],[PKEndValue]]="","",IF(D134="","",INT(D134/1000)&amp;"+"&amp;TEXT(MOD(D134,1000),"000.00")))</f>
        <v/>
      </c>
      <c r="I134" t="str">
        <f>IF(F134="","",IFERROR(_xlfn.XLOOKUP(F134,TableLibraryBarriers[Type],TableLibraryBarriers[BarrierFamily]),""))</f>
        <v/>
      </c>
      <c r="J134" t="str">
        <f>IF(F134="","",IFERROR(_xlfn.XLOOKUP(F134,TableLibraryBarriers[Type],TableLibraryBarriers[BarrierType]),""))</f>
        <v/>
      </c>
      <c r="K134" t="str">
        <f>IF(F134="","",IFERROR(_xlfn.XLOOKUP(F134,TableLibraryBarriers[Type],TableLibraryBarriers[BlockLinear]),""))</f>
        <v/>
      </c>
      <c r="L134" t="str">
        <f>IF(F134="","",IFERROR(_xlfn.XLOOKUP(F134,TableLibraryBarriers[Type],TableLibraryBarriers[BlockPost]),""))</f>
        <v/>
      </c>
      <c r="M134" t="str">
        <f>IF(F134="","",IFERROR(_xlfn.XLOOKUP(F134,TableLibraryBarriers[Type],TableLibraryBarriers[IFCEntity]),""))</f>
        <v/>
      </c>
      <c r="N134" t="str">
        <f>IF(F134="","",IFERROR(_xlfn.XLOOKUP(F134,TableLibraryBarriers[Type],TableLibraryBarriers[Material]),""))</f>
        <v/>
      </c>
      <c r="O134" t="str">
        <f>IF(F134="","",IFERROR(_xlfn.XLOOKUP(F134,TableLibraryBarriers[Type],TableLibraryBarriers[PostSpacing]),""))</f>
        <v/>
      </c>
      <c r="P134" t="str">
        <f>IF(F134="","",IFERROR(_xlfn.XLOOKUP(F134,TableLibraryBarriers[Type],TableLibraryBarriers[ModuleLength]),""))</f>
        <v/>
      </c>
      <c r="Q134" t="str">
        <f>IF(F134="","",IFERROR(_xlfn.XLOOKUP(F134,TableLibraryBarriers[Type],TableLibraryBarriers[Height]),""))</f>
        <v/>
      </c>
      <c r="R134" t="str">
        <f>IF(F134="","",IFERROR(_xlfn.XLOOKUP(F134,TableLibraryBarriers[Type],TableLibraryBarriers[Width]),""))</f>
        <v/>
      </c>
      <c r="S134" t="str">
        <f>IF(F134="","",IFERROR(_xlfn.XLOOKUP(F134,TableLibraryBarriers[Type],TableLibraryBarriers[ContainmentLevel]),""))</f>
        <v/>
      </c>
      <c r="T134" t="str">
        <f>IF(F134="","",IFERROR(_xlfn.XLOOKUP(F134,TableLibraryBarriers[Type],TableLibraryBarriers[WorkingWidth]),""))</f>
        <v/>
      </c>
      <c r="U134" t="str">
        <f>IF(F134="","",IFERROR(_xlfn.XLOOKUP(F134,TableLibraryBarriers[Type],TableLibraryBarriers[Layer]),""))</f>
        <v/>
      </c>
      <c r="V134" t="str">
        <f>IF(F134="","",IFERROR(_xlfn.XLOOKUP(F134,TableLibraryBarriers[Type],TableLibraryBarriers[TimeUnitLength(h)]),""))</f>
        <v/>
      </c>
      <c r="W134" t="str">
        <f>IF(F134="","",IFERROR(_xlfn.XLOOKUP(F134,TableLibraryBarriers[Type],TableLibraryBarriers[CostUnitLength]),""))</f>
        <v/>
      </c>
      <c r="X134" t="str">
        <f>IF(F134="","",IFERROR(_xlfn.XLOOKUP(F134,TableLibraryBarriers[Type],TableLibraryBarriers[Notes]),""))</f>
        <v/>
      </c>
      <c r="Y134" s="19"/>
      <c r="Z134" s="19"/>
    </row>
    <row r="135" spans="1:26">
      <c r="A135" t="str">
        <f t="shared" si="2"/>
        <v/>
      </c>
      <c r="C135" s="21"/>
      <c r="D135" s="21"/>
      <c r="E135" s="19"/>
      <c r="G135" s="16" t="str">
        <f>IF(BarriersTable[[#This Row],[PKStartValue]]="","",IF(C135="","",INT(C135/1000)&amp;"+"&amp;TEXT(MOD(C135,1000),"000.00")))</f>
        <v/>
      </c>
      <c r="H135" s="16" t="str">
        <f>IF(BarriersTable[[#This Row],[PKEndValue]]="","",IF(D135="","",INT(D135/1000)&amp;"+"&amp;TEXT(MOD(D135,1000),"000.00")))</f>
        <v/>
      </c>
      <c r="I135" t="str">
        <f>IF(F135="","",IFERROR(_xlfn.XLOOKUP(F135,TableLibraryBarriers[Type],TableLibraryBarriers[BarrierFamily]),""))</f>
        <v/>
      </c>
      <c r="J135" t="str">
        <f>IF(F135="","",IFERROR(_xlfn.XLOOKUP(F135,TableLibraryBarriers[Type],TableLibraryBarriers[BarrierType]),""))</f>
        <v/>
      </c>
      <c r="K135" t="str">
        <f>IF(F135="","",IFERROR(_xlfn.XLOOKUP(F135,TableLibraryBarriers[Type],TableLibraryBarriers[BlockLinear]),""))</f>
        <v/>
      </c>
      <c r="L135" t="str">
        <f>IF(F135="","",IFERROR(_xlfn.XLOOKUP(F135,TableLibraryBarriers[Type],TableLibraryBarriers[BlockPost]),""))</f>
        <v/>
      </c>
      <c r="M135" t="str">
        <f>IF(F135="","",IFERROR(_xlfn.XLOOKUP(F135,TableLibraryBarriers[Type],TableLibraryBarriers[IFCEntity]),""))</f>
        <v/>
      </c>
      <c r="N135" t="str">
        <f>IF(F135="","",IFERROR(_xlfn.XLOOKUP(F135,TableLibraryBarriers[Type],TableLibraryBarriers[Material]),""))</f>
        <v/>
      </c>
      <c r="O135" t="str">
        <f>IF(F135="","",IFERROR(_xlfn.XLOOKUP(F135,TableLibraryBarriers[Type],TableLibraryBarriers[PostSpacing]),""))</f>
        <v/>
      </c>
      <c r="P135" t="str">
        <f>IF(F135="","",IFERROR(_xlfn.XLOOKUP(F135,TableLibraryBarriers[Type],TableLibraryBarriers[ModuleLength]),""))</f>
        <v/>
      </c>
      <c r="Q135" t="str">
        <f>IF(F135="","",IFERROR(_xlfn.XLOOKUP(F135,TableLibraryBarriers[Type],TableLibraryBarriers[Height]),""))</f>
        <v/>
      </c>
      <c r="R135" t="str">
        <f>IF(F135="","",IFERROR(_xlfn.XLOOKUP(F135,TableLibraryBarriers[Type],TableLibraryBarriers[Width]),""))</f>
        <v/>
      </c>
      <c r="S135" t="str">
        <f>IF(F135="","",IFERROR(_xlfn.XLOOKUP(F135,TableLibraryBarriers[Type],TableLibraryBarriers[ContainmentLevel]),""))</f>
        <v/>
      </c>
      <c r="T135" t="str">
        <f>IF(F135="","",IFERROR(_xlfn.XLOOKUP(F135,TableLibraryBarriers[Type],TableLibraryBarriers[WorkingWidth]),""))</f>
        <v/>
      </c>
      <c r="U135" t="str">
        <f>IF(F135="","",IFERROR(_xlfn.XLOOKUP(F135,TableLibraryBarriers[Type],TableLibraryBarriers[Layer]),""))</f>
        <v/>
      </c>
      <c r="V135" t="str">
        <f>IF(F135="","",IFERROR(_xlfn.XLOOKUP(F135,TableLibraryBarriers[Type],TableLibraryBarriers[TimeUnitLength(h)]),""))</f>
        <v/>
      </c>
      <c r="W135" t="str">
        <f>IF(F135="","",IFERROR(_xlfn.XLOOKUP(F135,TableLibraryBarriers[Type],TableLibraryBarriers[CostUnitLength]),""))</f>
        <v/>
      </c>
      <c r="X135" t="str">
        <f>IF(F135="","",IFERROR(_xlfn.XLOOKUP(F135,TableLibraryBarriers[Type],TableLibraryBarriers[Notes]),""))</f>
        <v/>
      </c>
      <c r="Y135" s="19"/>
      <c r="Z135" s="19"/>
    </row>
    <row r="136" spans="1:26">
      <c r="A136" t="str">
        <f t="shared" si="2"/>
        <v/>
      </c>
      <c r="C136" s="21"/>
      <c r="D136" s="21"/>
      <c r="E136" s="19"/>
      <c r="G136" s="16" t="str">
        <f>IF(BarriersTable[[#This Row],[PKStartValue]]="","",IF(C136="","",INT(C136/1000)&amp;"+"&amp;TEXT(MOD(C136,1000),"000.00")))</f>
        <v/>
      </c>
      <c r="H136" s="16" t="str">
        <f>IF(BarriersTable[[#This Row],[PKEndValue]]="","",IF(D136="","",INT(D136/1000)&amp;"+"&amp;TEXT(MOD(D136,1000),"000.00")))</f>
        <v/>
      </c>
      <c r="I136" t="str">
        <f>IF(F136="","",IFERROR(_xlfn.XLOOKUP(F136,TableLibraryBarriers[Type],TableLibraryBarriers[BarrierFamily]),""))</f>
        <v/>
      </c>
      <c r="J136" t="str">
        <f>IF(F136="","",IFERROR(_xlfn.XLOOKUP(F136,TableLibraryBarriers[Type],TableLibraryBarriers[BarrierType]),""))</f>
        <v/>
      </c>
      <c r="K136" t="str">
        <f>IF(F136="","",IFERROR(_xlfn.XLOOKUP(F136,TableLibraryBarriers[Type],TableLibraryBarriers[BlockLinear]),""))</f>
        <v/>
      </c>
      <c r="L136" t="str">
        <f>IF(F136="","",IFERROR(_xlfn.XLOOKUP(F136,TableLibraryBarriers[Type],TableLibraryBarriers[BlockPost]),""))</f>
        <v/>
      </c>
      <c r="M136" t="str">
        <f>IF(F136="","",IFERROR(_xlfn.XLOOKUP(F136,TableLibraryBarriers[Type],TableLibraryBarriers[IFCEntity]),""))</f>
        <v/>
      </c>
      <c r="N136" t="str">
        <f>IF(F136="","",IFERROR(_xlfn.XLOOKUP(F136,TableLibraryBarriers[Type],TableLibraryBarriers[Material]),""))</f>
        <v/>
      </c>
      <c r="O136" t="str">
        <f>IF(F136="","",IFERROR(_xlfn.XLOOKUP(F136,TableLibraryBarriers[Type],TableLibraryBarriers[PostSpacing]),""))</f>
        <v/>
      </c>
      <c r="P136" t="str">
        <f>IF(F136="","",IFERROR(_xlfn.XLOOKUP(F136,TableLibraryBarriers[Type],TableLibraryBarriers[ModuleLength]),""))</f>
        <v/>
      </c>
      <c r="Q136" t="str">
        <f>IF(F136="","",IFERROR(_xlfn.XLOOKUP(F136,TableLibraryBarriers[Type],TableLibraryBarriers[Height]),""))</f>
        <v/>
      </c>
      <c r="R136" t="str">
        <f>IF(F136="","",IFERROR(_xlfn.XLOOKUP(F136,TableLibraryBarriers[Type],TableLibraryBarriers[Width]),""))</f>
        <v/>
      </c>
      <c r="S136" t="str">
        <f>IF(F136="","",IFERROR(_xlfn.XLOOKUP(F136,TableLibraryBarriers[Type],TableLibraryBarriers[ContainmentLevel]),""))</f>
        <v/>
      </c>
      <c r="T136" t="str">
        <f>IF(F136="","",IFERROR(_xlfn.XLOOKUP(F136,TableLibraryBarriers[Type],TableLibraryBarriers[WorkingWidth]),""))</f>
        <v/>
      </c>
      <c r="U136" t="str">
        <f>IF(F136="","",IFERROR(_xlfn.XLOOKUP(F136,TableLibraryBarriers[Type],TableLibraryBarriers[Layer]),""))</f>
        <v/>
      </c>
      <c r="V136" t="str">
        <f>IF(F136="","",IFERROR(_xlfn.XLOOKUP(F136,TableLibraryBarriers[Type],TableLibraryBarriers[TimeUnitLength(h)]),""))</f>
        <v/>
      </c>
      <c r="W136" t="str">
        <f>IF(F136="","",IFERROR(_xlfn.XLOOKUP(F136,TableLibraryBarriers[Type],TableLibraryBarriers[CostUnitLength]),""))</f>
        <v/>
      </c>
      <c r="X136" t="str">
        <f>IF(F136="","",IFERROR(_xlfn.XLOOKUP(F136,TableLibraryBarriers[Type],TableLibraryBarriers[Notes]),""))</f>
        <v/>
      </c>
      <c r="Y136" s="19"/>
      <c r="Z136" s="19"/>
    </row>
    <row r="137" spans="1:26">
      <c r="A137" t="str">
        <f t="shared" si="2"/>
        <v/>
      </c>
      <c r="C137" s="21"/>
      <c r="D137" s="21"/>
      <c r="E137" s="19"/>
      <c r="G137" s="16" t="str">
        <f>IF(BarriersTable[[#This Row],[PKStartValue]]="","",IF(C137="","",INT(C137/1000)&amp;"+"&amp;TEXT(MOD(C137,1000),"000.00")))</f>
        <v/>
      </c>
      <c r="H137" s="16" t="str">
        <f>IF(BarriersTable[[#This Row],[PKEndValue]]="","",IF(D137="","",INT(D137/1000)&amp;"+"&amp;TEXT(MOD(D137,1000),"000.00")))</f>
        <v/>
      </c>
      <c r="I137" t="str">
        <f>IF(F137="","",IFERROR(_xlfn.XLOOKUP(F137,TableLibraryBarriers[Type],TableLibraryBarriers[BarrierFamily]),""))</f>
        <v/>
      </c>
      <c r="J137" t="str">
        <f>IF(F137="","",IFERROR(_xlfn.XLOOKUP(F137,TableLibraryBarriers[Type],TableLibraryBarriers[BarrierType]),""))</f>
        <v/>
      </c>
      <c r="K137" t="str">
        <f>IF(F137="","",IFERROR(_xlfn.XLOOKUP(F137,TableLibraryBarriers[Type],TableLibraryBarriers[BlockLinear]),""))</f>
        <v/>
      </c>
      <c r="L137" t="str">
        <f>IF(F137="","",IFERROR(_xlfn.XLOOKUP(F137,TableLibraryBarriers[Type],TableLibraryBarriers[BlockPost]),""))</f>
        <v/>
      </c>
      <c r="M137" t="str">
        <f>IF(F137="","",IFERROR(_xlfn.XLOOKUP(F137,TableLibraryBarriers[Type],TableLibraryBarriers[IFCEntity]),""))</f>
        <v/>
      </c>
      <c r="N137" t="str">
        <f>IF(F137="","",IFERROR(_xlfn.XLOOKUP(F137,TableLibraryBarriers[Type],TableLibraryBarriers[Material]),""))</f>
        <v/>
      </c>
      <c r="O137" t="str">
        <f>IF(F137="","",IFERROR(_xlfn.XLOOKUP(F137,TableLibraryBarriers[Type],TableLibraryBarriers[PostSpacing]),""))</f>
        <v/>
      </c>
      <c r="P137" t="str">
        <f>IF(F137="","",IFERROR(_xlfn.XLOOKUP(F137,TableLibraryBarriers[Type],TableLibraryBarriers[ModuleLength]),""))</f>
        <v/>
      </c>
      <c r="Q137" t="str">
        <f>IF(F137="","",IFERROR(_xlfn.XLOOKUP(F137,TableLibraryBarriers[Type],TableLibraryBarriers[Height]),""))</f>
        <v/>
      </c>
      <c r="R137" t="str">
        <f>IF(F137="","",IFERROR(_xlfn.XLOOKUP(F137,TableLibraryBarriers[Type],TableLibraryBarriers[Width]),""))</f>
        <v/>
      </c>
      <c r="S137" t="str">
        <f>IF(F137="","",IFERROR(_xlfn.XLOOKUP(F137,TableLibraryBarriers[Type],TableLibraryBarriers[ContainmentLevel]),""))</f>
        <v/>
      </c>
      <c r="T137" t="str">
        <f>IF(F137="","",IFERROR(_xlfn.XLOOKUP(F137,TableLibraryBarriers[Type],TableLibraryBarriers[WorkingWidth]),""))</f>
        <v/>
      </c>
      <c r="U137" t="str">
        <f>IF(F137="","",IFERROR(_xlfn.XLOOKUP(F137,TableLibraryBarriers[Type],TableLibraryBarriers[Layer]),""))</f>
        <v/>
      </c>
      <c r="V137" t="str">
        <f>IF(F137="","",IFERROR(_xlfn.XLOOKUP(F137,TableLibraryBarriers[Type],TableLibraryBarriers[TimeUnitLength(h)]),""))</f>
        <v/>
      </c>
      <c r="W137" t="str">
        <f>IF(F137="","",IFERROR(_xlfn.XLOOKUP(F137,TableLibraryBarriers[Type],TableLibraryBarriers[CostUnitLength]),""))</f>
        <v/>
      </c>
      <c r="X137" t="str">
        <f>IF(F137="","",IFERROR(_xlfn.XLOOKUP(F137,TableLibraryBarriers[Type],TableLibraryBarriers[Notes]),""))</f>
        <v/>
      </c>
      <c r="Y137" s="19"/>
      <c r="Z137" s="19"/>
    </row>
    <row r="138" spans="1:26">
      <c r="A138" t="str">
        <f t="shared" si="2"/>
        <v/>
      </c>
      <c r="C138" s="21"/>
      <c r="D138" s="21"/>
      <c r="E138" s="19"/>
      <c r="G138" s="16" t="str">
        <f>IF(BarriersTable[[#This Row],[PKStartValue]]="","",IF(C138="","",INT(C138/1000)&amp;"+"&amp;TEXT(MOD(C138,1000),"000.00")))</f>
        <v/>
      </c>
      <c r="H138" s="16" t="str">
        <f>IF(BarriersTable[[#This Row],[PKEndValue]]="","",IF(D138="","",INT(D138/1000)&amp;"+"&amp;TEXT(MOD(D138,1000),"000.00")))</f>
        <v/>
      </c>
      <c r="I138" t="str">
        <f>IF(F138="","",IFERROR(_xlfn.XLOOKUP(F138,TableLibraryBarriers[Type],TableLibraryBarriers[BarrierFamily]),""))</f>
        <v/>
      </c>
      <c r="J138" t="str">
        <f>IF(F138="","",IFERROR(_xlfn.XLOOKUP(F138,TableLibraryBarriers[Type],TableLibraryBarriers[BarrierType]),""))</f>
        <v/>
      </c>
      <c r="K138" t="str">
        <f>IF(F138="","",IFERROR(_xlfn.XLOOKUP(F138,TableLibraryBarriers[Type],TableLibraryBarriers[BlockLinear]),""))</f>
        <v/>
      </c>
      <c r="L138" t="str">
        <f>IF(F138="","",IFERROR(_xlfn.XLOOKUP(F138,TableLibraryBarriers[Type],TableLibraryBarriers[BlockPost]),""))</f>
        <v/>
      </c>
      <c r="M138" t="str">
        <f>IF(F138="","",IFERROR(_xlfn.XLOOKUP(F138,TableLibraryBarriers[Type],TableLibraryBarriers[IFCEntity]),""))</f>
        <v/>
      </c>
      <c r="N138" t="str">
        <f>IF(F138="","",IFERROR(_xlfn.XLOOKUP(F138,TableLibraryBarriers[Type],TableLibraryBarriers[Material]),""))</f>
        <v/>
      </c>
      <c r="O138" t="str">
        <f>IF(F138="","",IFERROR(_xlfn.XLOOKUP(F138,TableLibraryBarriers[Type],TableLibraryBarriers[PostSpacing]),""))</f>
        <v/>
      </c>
      <c r="P138" t="str">
        <f>IF(F138="","",IFERROR(_xlfn.XLOOKUP(F138,TableLibraryBarriers[Type],TableLibraryBarriers[ModuleLength]),""))</f>
        <v/>
      </c>
      <c r="Q138" t="str">
        <f>IF(F138="","",IFERROR(_xlfn.XLOOKUP(F138,TableLibraryBarriers[Type],TableLibraryBarriers[Height]),""))</f>
        <v/>
      </c>
      <c r="R138" t="str">
        <f>IF(F138="","",IFERROR(_xlfn.XLOOKUP(F138,TableLibraryBarriers[Type],TableLibraryBarriers[Width]),""))</f>
        <v/>
      </c>
      <c r="S138" t="str">
        <f>IF(F138="","",IFERROR(_xlfn.XLOOKUP(F138,TableLibraryBarriers[Type],TableLibraryBarriers[ContainmentLevel]),""))</f>
        <v/>
      </c>
      <c r="T138" t="str">
        <f>IF(F138="","",IFERROR(_xlfn.XLOOKUP(F138,TableLibraryBarriers[Type],TableLibraryBarriers[WorkingWidth]),""))</f>
        <v/>
      </c>
      <c r="U138" t="str">
        <f>IF(F138="","",IFERROR(_xlfn.XLOOKUP(F138,TableLibraryBarriers[Type],TableLibraryBarriers[Layer]),""))</f>
        <v/>
      </c>
      <c r="V138" t="str">
        <f>IF(F138="","",IFERROR(_xlfn.XLOOKUP(F138,TableLibraryBarriers[Type],TableLibraryBarriers[TimeUnitLength(h)]),""))</f>
        <v/>
      </c>
      <c r="W138" t="str">
        <f>IF(F138="","",IFERROR(_xlfn.XLOOKUP(F138,TableLibraryBarriers[Type],TableLibraryBarriers[CostUnitLength]),""))</f>
        <v/>
      </c>
      <c r="X138" t="str">
        <f>IF(F138="","",IFERROR(_xlfn.XLOOKUP(F138,TableLibraryBarriers[Type],TableLibraryBarriers[Notes]),""))</f>
        <v/>
      </c>
      <c r="Y138" s="19"/>
      <c r="Z138" s="19"/>
    </row>
    <row r="139" spans="1:26">
      <c r="A139" t="str">
        <f t="shared" si="2"/>
        <v/>
      </c>
      <c r="C139" s="21"/>
      <c r="D139" s="21"/>
      <c r="E139" s="19"/>
      <c r="G139" s="16" t="str">
        <f>IF(BarriersTable[[#This Row],[PKStartValue]]="","",IF(C139="","",INT(C139/1000)&amp;"+"&amp;TEXT(MOD(C139,1000),"000.00")))</f>
        <v/>
      </c>
      <c r="H139" s="16" t="str">
        <f>IF(BarriersTable[[#This Row],[PKEndValue]]="","",IF(D139="","",INT(D139/1000)&amp;"+"&amp;TEXT(MOD(D139,1000),"000.00")))</f>
        <v/>
      </c>
      <c r="I139" t="str">
        <f>IF(F139="","",IFERROR(_xlfn.XLOOKUP(F139,TableLibraryBarriers[Type],TableLibraryBarriers[BarrierFamily]),""))</f>
        <v/>
      </c>
      <c r="J139" t="str">
        <f>IF(F139="","",IFERROR(_xlfn.XLOOKUP(F139,TableLibraryBarriers[Type],TableLibraryBarriers[BarrierType]),""))</f>
        <v/>
      </c>
      <c r="K139" t="str">
        <f>IF(F139="","",IFERROR(_xlfn.XLOOKUP(F139,TableLibraryBarriers[Type],TableLibraryBarriers[BlockLinear]),""))</f>
        <v/>
      </c>
      <c r="L139" t="str">
        <f>IF(F139="","",IFERROR(_xlfn.XLOOKUP(F139,TableLibraryBarriers[Type],TableLibraryBarriers[BlockPost]),""))</f>
        <v/>
      </c>
      <c r="M139" t="str">
        <f>IF(F139="","",IFERROR(_xlfn.XLOOKUP(F139,TableLibraryBarriers[Type],TableLibraryBarriers[IFCEntity]),""))</f>
        <v/>
      </c>
      <c r="N139" t="str">
        <f>IF(F139="","",IFERROR(_xlfn.XLOOKUP(F139,TableLibraryBarriers[Type],TableLibraryBarriers[Material]),""))</f>
        <v/>
      </c>
      <c r="O139" t="str">
        <f>IF(F139="","",IFERROR(_xlfn.XLOOKUP(F139,TableLibraryBarriers[Type],TableLibraryBarriers[PostSpacing]),""))</f>
        <v/>
      </c>
      <c r="P139" t="str">
        <f>IF(F139="","",IFERROR(_xlfn.XLOOKUP(F139,TableLibraryBarriers[Type],TableLibraryBarriers[ModuleLength]),""))</f>
        <v/>
      </c>
      <c r="Q139" t="str">
        <f>IF(F139="","",IFERROR(_xlfn.XLOOKUP(F139,TableLibraryBarriers[Type],TableLibraryBarriers[Height]),""))</f>
        <v/>
      </c>
      <c r="R139" t="str">
        <f>IF(F139="","",IFERROR(_xlfn.XLOOKUP(F139,TableLibraryBarriers[Type],TableLibraryBarriers[Width]),""))</f>
        <v/>
      </c>
      <c r="S139" t="str">
        <f>IF(F139="","",IFERROR(_xlfn.XLOOKUP(F139,TableLibraryBarriers[Type],TableLibraryBarriers[ContainmentLevel]),""))</f>
        <v/>
      </c>
      <c r="T139" t="str">
        <f>IF(F139="","",IFERROR(_xlfn.XLOOKUP(F139,TableLibraryBarriers[Type],TableLibraryBarriers[WorkingWidth]),""))</f>
        <v/>
      </c>
      <c r="U139" t="str">
        <f>IF(F139="","",IFERROR(_xlfn.XLOOKUP(F139,TableLibraryBarriers[Type],TableLibraryBarriers[Layer]),""))</f>
        <v/>
      </c>
      <c r="V139" t="str">
        <f>IF(F139="","",IFERROR(_xlfn.XLOOKUP(F139,TableLibraryBarriers[Type],TableLibraryBarriers[TimeUnitLength(h)]),""))</f>
        <v/>
      </c>
      <c r="W139" t="str">
        <f>IF(F139="","",IFERROR(_xlfn.XLOOKUP(F139,TableLibraryBarriers[Type],TableLibraryBarriers[CostUnitLength]),""))</f>
        <v/>
      </c>
      <c r="X139" t="str">
        <f>IF(F139="","",IFERROR(_xlfn.XLOOKUP(F139,TableLibraryBarriers[Type],TableLibraryBarriers[Notes]),""))</f>
        <v/>
      </c>
      <c r="Y139" s="19"/>
      <c r="Z139" s="19"/>
    </row>
    <row r="140" spans="1:26">
      <c r="A140" t="str">
        <f t="shared" si="2"/>
        <v/>
      </c>
      <c r="C140" s="21"/>
      <c r="D140" s="21"/>
      <c r="E140" s="19"/>
      <c r="G140" s="16" t="str">
        <f>IF(BarriersTable[[#This Row],[PKStartValue]]="","",IF(C140="","",INT(C140/1000)&amp;"+"&amp;TEXT(MOD(C140,1000),"000.00")))</f>
        <v/>
      </c>
      <c r="H140" s="16" t="str">
        <f>IF(BarriersTable[[#This Row],[PKEndValue]]="","",IF(D140="","",INT(D140/1000)&amp;"+"&amp;TEXT(MOD(D140,1000),"000.00")))</f>
        <v/>
      </c>
      <c r="I140" t="str">
        <f>IF(F140="","",IFERROR(_xlfn.XLOOKUP(F140,TableLibraryBarriers[Type],TableLibraryBarriers[BarrierFamily]),""))</f>
        <v/>
      </c>
      <c r="J140" t="str">
        <f>IF(F140="","",IFERROR(_xlfn.XLOOKUP(F140,TableLibraryBarriers[Type],TableLibraryBarriers[BarrierType]),""))</f>
        <v/>
      </c>
      <c r="K140" t="str">
        <f>IF(F140="","",IFERROR(_xlfn.XLOOKUP(F140,TableLibraryBarriers[Type],TableLibraryBarriers[BlockLinear]),""))</f>
        <v/>
      </c>
      <c r="L140" t="str">
        <f>IF(F140="","",IFERROR(_xlfn.XLOOKUP(F140,TableLibraryBarriers[Type],TableLibraryBarriers[BlockPost]),""))</f>
        <v/>
      </c>
      <c r="M140" t="str">
        <f>IF(F140="","",IFERROR(_xlfn.XLOOKUP(F140,TableLibraryBarriers[Type],TableLibraryBarriers[IFCEntity]),""))</f>
        <v/>
      </c>
      <c r="N140" t="str">
        <f>IF(F140="","",IFERROR(_xlfn.XLOOKUP(F140,TableLibraryBarriers[Type],TableLibraryBarriers[Material]),""))</f>
        <v/>
      </c>
      <c r="O140" t="str">
        <f>IF(F140="","",IFERROR(_xlfn.XLOOKUP(F140,TableLibraryBarriers[Type],TableLibraryBarriers[PostSpacing]),""))</f>
        <v/>
      </c>
      <c r="P140" t="str">
        <f>IF(F140="","",IFERROR(_xlfn.XLOOKUP(F140,TableLibraryBarriers[Type],TableLibraryBarriers[ModuleLength]),""))</f>
        <v/>
      </c>
      <c r="Q140" t="str">
        <f>IF(F140="","",IFERROR(_xlfn.XLOOKUP(F140,TableLibraryBarriers[Type],TableLibraryBarriers[Height]),""))</f>
        <v/>
      </c>
      <c r="R140" t="str">
        <f>IF(F140="","",IFERROR(_xlfn.XLOOKUP(F140,TableLibraryBarriers[Type],TableLibraryBarriers[Width]),""))</f>
        <v/>
      </c>
      <c r="S140" t="str">
        <f>IF(F140="","",IFERROR(_xlfn.XLOOKUP(F140,TableLibraryBarriers[Type],TableLibraryBarriers[ContainmentLevel]),""))</f>
        <v/>
      </c>
      <c r="T140" t="str">
        <f>IF(F140="","",IFERROR(_xlfn.XLOOKUP(F140,TableLibraryBarriers[Type],TableLibraryBarriers[WorkingWidth]),""))</f>
        <v/>
      </c>
      <c r="U140" t="str">
        <f>IF(F140="","",IFERROR(_xlfn.XLOOKUP(F140,TableLibraryBarriers[Type],TableLibraryBarriers[Layer]),""))</f>
        <v/>
      </c>
      <c r="V140" t="str">
        <f>IF(F140="","",IFERROR(_xlfn.XLOOKUP(F140,TableLibraryBarriers[Type],TableLibraryBarriers[TimeUnitLength(h)]),""))</f>
        <v/>
      </c>
      <c r="W140" t="str">
        <f>IF(F140="","",IFERROR(_xlfn.XLOOKUP(F140,TableLibraryBarriers[Type],TableLibraryBarriers[CostUnitLength]),""))</f>
        <v/>
      </c>
      <c r="X140" t="str">
        <f>IF(F140="","",IFERROR(_xlfn.XLOOKUP(F140,TableLibraryBarriers[Type],TableLibraryBarriers[Notes]),""))</f>
        <v/>
      </c>
      <c r="Y140" s="19"/>
      <c r="Z140" s="19"/>
    </row>
    <row r="141" spans="1:26">
      <c r="A141" t="str">
        <f t="shared" si="2"/>
        <v/>
      </c>
      <c r="C141" s="21"/>
      <c r="D141" s="21"/>
      <c r="E141" s="19"/>
      <c r="G141" s="16" t="str">
        <f>IF(BarriersTable[[#This Row],[PKStartValue]]="","",IF(C141="","",INT(C141/1000)&amp;"+"&amp;TEXT(MOD(C141,1000),"000.00")))</f>
        <v/>
      </c>
      <c r="H141" s="16" t="str">
        <f>IF(BarriersTable[[#This Row],[PKEndValue]]="","",IF(D141="","",INT(D141/1000)&amp;"+"&amp;TEXT(MOD(D141,1000),"000.00")))</f>
        <v/>
      </c>
      <c r="I141" t="str">
        <f>IF(F141="","",IFERROR(_xlfn.XLOOKUP(F141,TableLibraryBarriers[Type],TableLibraryBarriers[BarrierFamily]),""))</f>
        <v/>
      </c>
      <c r="J141" t="str">
        <f>IF(F141="","",IFERROR(_xlfn.XLOOKUP(F141,TableLibraryBarriers[Type],TableLibraryBarriers[BarrierType]),""))</f>
        <v/>
      </c>
      <c r="K141" t="str">
        <f>IF(F141="","",IFERROR(_xlfn.XLOOKUP(F141,TableLibraryBarriers[Type],TableLibraryBarriers[BlockLinear]),""))</f>
        <v/>
      </c>
      <c r="L141" t="str">
        <f>IF(F141="","",IFERROR(_xlfn.XLOOKUP(F141,TableLibraryBarriers[Type],TableLibraryBarriers[BlockPost]),""))</f>
        <v/>
      </c>
      <c r="M141" t="str">
        <f>IF(F141="","",IFERROR(_xlfn.XLOOKUP(F141,TableLibraryBarriers[Type],TableLibraryBarriers[IFCEntity]),""))</f>
        <v/>
      </c>
      <c r="N141" t="str">
        <f>IF(F141="","",IFERROR(_xlfn.XLOOKUP(F141,TableLibraryBarriers[Type],TableLibraryBarriers[Material]),""))</f>
        <v/>
      </c>
      <c r="O141" t="str">
        <f>IF(F141="","",IFERROR(_xlfn.XLOOKUP(F141,TableLibraryBarriers[Type],TableLibraryBarriers[PostSpacing]),""))</f>
        <v/>
      </c>
      <c r="P141" t="str">
        <f>IF(F141="","",IFERROR(_xlfn.XLOOKUP(F141,TableLibraryBarriers[Type],TableLibraryBarriers[ModuleLength]),""))</f>
        <v/>
      </c>
      <c r="Q141" t="str">
        <f>IF(F141="","",IFERROR(_xlfn.XLOOKUP(F141,TableLibraryBarriers[Type],TableLibraryBarriers[Height]),""))</f>
        <v/>
      </c>
      <c r="R141" t="str">
        <f>IF(F141="","",IFERROR(_xlfn.XLOOKUP(F141,TableLibraryBarriers[Type],TableLibraryBarriers[Width]),""))</f>
        <v/>
      </c>
      <c r="S141" t="str">
        <f>IF(F141="","",IFERROR(_xlfn.XLOOKUP(F141,TableLibraryBarriers[Type],TableLibraryBarriers[ContainmentLevel]),""))</f>
        <v/>
      </c>
      <c r="T141" t="str">
        <f>IF(F141="","",IFERROR(_xlfn.XLOOKUP(F141,TableLibraryBarriers[Type],TableLibraryBarriers[WorkingWidth]),""))</f>
        <v/>
      </c>
      <c r="U141" t="str">
        <f>IF(F141="","",IFERROR(_xlfn.XLOOKUP(F141,TableLibraryBarriers[Type],TableLibraryBarriers[Layer]),""))</f>
        <v/>
      </c>
      <c r="V141" t="str">
        <f>IF(F141="","",IFERROR(_xlfn.XLOOKUP(F141,TableLibraryBarriers[Type],TableLibraryBarriers[TimeUnitLength(h)]),""))</f>
        <v/>
      </c>
      <c r="W141" t="str">
        <f>IF(F141="","",IFERROR(_xlfn.XLOOKUP(F141,TableLibraryBarriers[Type],TableLibraryBarriers[CostUnitLength]),""))</f>
        <v/>
      </c>
      <c r="X141" t="str">
        <f>IF(F141="","",IFERROR(_xlfn.XLOOKUP(F141,TableLibraryBarriers[Type],TableLibraryBarriers[Notes]),""))</f>
        <v/>
      </c>
      <c r="Y141" s="19"/>
      <c r="Z141" s="19"/>
    </row>
    <row r="142" spans="1:26">
      <c r="A142" t="str">
        <f t="shared" si="2"/>
        <v/>
      </c>
      <c r="C142" s="21"/>
      <c r="D142" s="21"/>
      <c r="E142" s="19"/>
      <c r="G142" s="16" t="str">
        <f>IF(BarriersTable[[#This Row],[PKStartValue]]="","",IF(C142="","",INT(C142/1000)&amp;"+"&amp;TEXT(MOD(C142,1000),"000.00")))</f>
        <v/>
      </c>
      <c r="H142" s="16" t="str">
        <f>IF(BarriersTable[[#This Row],[PKEndValue]]="","",IF(D142="","",INT(D142/1000)&amp;"+"&amp;TEXT(MOD(D142,1000),"000.00")))</f>
        <v/>
      </c>
      <c r="I142" t="str">
        <f>IF(F142="","",IFERROR(_xlfn.XLOOKUP(F142,TableLibraryBarriers[Type],TableLibraryBarriers[BarrierFamily]),""))</f>
        <v/>
      </c>
      <c r="J142" t="str">
        <f>IF(F142="","",IFERROR(_xlfn.XLOOKUP(F142,TableLibraryBarriers[Type],TableLibraryBarriers[BarrierType]),""))</f>
        <v/>
      </c>
      <c r="K142" t="str">
        <f>IF(F142="","",IFERROR(_xlfn.XLOOKUP(F142,TableLibraryBarriers[Type],TableLibraryBarriers[BlockLinear]),""))</f>
        <v/>
      </c>
      <c r="L142" t="str">
        <f>IF(F142="","",IFERROR(_xlfn.XLOOKUP(F142,TableLibraryBarriers[Type],TableLibraryBarriers[BlockPost]),""))</f>
        <v/>
      </c>
      <c r="M142" t="str">
        <f>IF(F142="","",IFERROR(_xlfn.XLOOKUP(F142,TableLibraryBarriers[Type],TableLibraryBarriers[IFCEntity]),""))</f>
        <v/>
      </c>
      <c r="N142" t="str">
        <f>IF(F142="","",IFERROR(_xlfn.XLOOKUP(F142,TableLibraryBarriers[Type],TableLibraryBarriers[Material]),""))</f>
        <v/>
      </c>
      <c r="O142" t="str">
        <f>IF(F142="","",IFERROR(_xlfn.XLOOKUP(F142,TableLibraryBarriers[Type],TableLibraryBarriers[PostSpacing]),""))</f>
        <v/>
      </c>
      <c r="P142" t="str">
        <f>IF(F142="","",IFERROR(_xlfn.XLOOKUP(F142,TableLibraryBarriers[Type],TableLibraryBarriers[ModuleLength]),""))</f>
        <v/>
      </c>
      <c r="Q142" t="str">
        <f>IF(F142="","",IFERROR(_xlfn.XLOOKUP(F142,TableLibraryBarriers[Type],TableLibraryBarriers[Height]),""))</f>
        <v/>
      </c>
      <c r="R142" t="str">
        <f>IF(F142="","",IFERROR(_xlfn.XLOOKUP(F142,TableLibraryBarriers[Type],TableLibraryBarriers[Width]),""))</f>
        <v/>
      </c>
      <c r="S142" t="str">
        <f>IF(F142="","",IFERROR(_xlfn.XLOOKUP(F142,TableLibraryBarriers[Type],TableLibraryBarriers[ContainmentLevel]),""))</f>
        <v/>
      </c>
      <c r="T142" t="str">
        <f>IF(F142="","",IFERROR(_xlfn.XLOOKUP(F142,TableLibraryBarriers[Type],TableLibraryBarriers[WorkingWidth]),""))</f>
        <v/>
      </c>
      <c r="U142" t="str">
        <f>IF(F142="","",IFERROR(_xlfn.XLOOKUP(F142,TableLibraryBarriers[Type],TableLibraryBarriers[Layer]),""))</f>
        <v/>
      </c>
      <c r="V142" t="str">
        <f>IF(F142="","",IFERROR(_xlfn.XLOOKUP(F142,TableLibraryBarriers[Type],TableLibraryBarriers[TimeUnitLength(h)]),""))</f>
        <v/>
      </c>
      <c r="W142" t="str">
        <f>IF(F142="","",IFERROR(_xlfn.XLOOKUP(F142,TableLibraryBarriers[Type],TableLibraryBarriers[CostUnitLength]),""))</f>
        <v/>
      </c>
      <c r="X142" t="str">
        <f>IF(F142="","",IFERROR(_xlfn.XLOOKUP(F142,TableLibraryBarriers[Type],TableLibraryBarriers[Notes]),""))</f>
        <v/>
      </c>
      <c r="Y142" s="19"/>
      <c r="Z142" s="19"/>
    </row>
    <row r="143" spans="1:26">
      <c r="A143" t="str">
        <f t="shared" si="2"/>
        <v/>
      </c>
      <c r="C143" s="21"/>
      <c r="D143" s="21"/>
      <c r="E143" s="19"/>
      <c r="G143" s="16" t="str">
        <f>IF(BarriersTable[[#This Row],[PKStartValue]]="","",IF(C143="","",INT(C143/1000)&amp;"+"&amp;TEXT(MOD(C143,1000),"000.00")))</f>
        <v/>
      </c>
      <c r="H143" s="16" t="str">
        <f>IF(BarriersTable[[#This Row],[PKEndValue]]="","",IF(D143="","",INT(D143/1000)&amp;"+"&amp;TEXT(MOD(D143,1000),"000.00")))</f>
        <v/>
      </c>
      <c r="I143" t="str">
        <f>IF(F143="","",IFERROR(_xlfn.XLOOKUP(F143,TableLibraryBarriers[Type],TableLibraryBarriers[BarrierFamily]),""))</f>
        <v/>
      </c>
      <c r="J143" t="str">
        <f>IF(F143="","",IFERROR(_xlfn.XLOOKUP(F143,TableLibraryBarriers[Type],TableLibraryBarriers[BarrierType]),""))</f>
        <v/>
      </c>
      <c r="K143" t="str">
        <f>IF(F143="","",IFERROR(_xlfn.XLOOKUP(F143,TableLibraryBarriers[Type],TableLibraryBarriers[BlockLinear]),""))</f>
        <v/>
      </c>
      <c r="L143" t="str">
        <f>IF(F143="","",IFERROR(_xlfn.XLOOKUP(F143,TableLibraryBarriers[Type],TableLibraryBarriers[BlockPost]),""))</f>
        <v/>
      </c>
      <c r="M143" t="str">
        <f>IF(F143="","",IFERROR(_xlfn.XLOOKUP(F143,TableLibraryBarriers[Type],TableLibraryBarriers[IFCEntity]),""))</f>
        <v/>
      </c>
      <c r="N143" t="str">
        <f>IF(F143="","",IFERROR(_xlfn.XLOOKUP(F143,TableLibraryBarriers[Type],TableLibraryBarriers[Material]),""))</f>
        <v/>
      </c>
      <c r="O143" t="str">
        <f>IF(F143="","",IFERROR(_xlfn.XLOOKUP(F143,TableLibraryBarriers[Type],TableLibraryBarriers[PostSpacing]),""))</f>
        <v/>
      </c>
      <c r="P143" t="str">
        <f>IF(F143="","",IFERROR(_xlfn.XLOOKUP(F143,TableLibraryBarriers[Type],TableLibraryBarriers[ModuleLength]),""))</f>
        <v/>
      </c>
      <c r="Q143" t="str">
        <f>IF(F143="","",IFERROR(_xlfn.XLOOKUP(F143,TableLibraryBarriers[Type],TableLibraryBarriers[Height]),""))</f>
        <v/>
      </c>
      <c r="R143" t="str">
        <f>IF(F143="","",IFERROR(_xlfn.XLOOKUP(F143,TableLibraryBarriers[Type],TableLibraryBarriers[Width]),""))</f>
        <v/>
      </c>
      <c r="S143" t="str">
        <f>IF(F143="","",IFERROR(_xlfn.XLOOKUP(F143,TableLibraryBarriers[Type],TableLibraryBarriers[ContainmentLevel]),""))</f>
        <v/>
      </c>
      <c r="T143" t="str">
        <f>IF(F143="","",IFERROR(_xlfn.XLOOKUP(F143,TableLibraryBarriers[Type],TableLibraryBarriers[WorkingWidth]),""))</f>
        <v/>
      </c>
      <c r="U143" t="str">
        <f>IF(F143="","",IFERROR(_xlfn.XLOOKUP(F143,TableLibraryBarriers[Type],TableLibraryBarriers[Layer]),""))</f>
        <v/>
      </c>
      <c r="V143" t="str">
        <f>IF(F143="","",IFERROR(_xlfn.XLOOKUP(F143,TableLibraryBarriers[Type],TableLibraryBarriers[TimeUnitLength(h)]),""))</f>
        <v/>
      </c>
      <c r="W143" t="str">
        <f>IF(F143="","",IFERROR(_xlfn.XLOOKUP(F143,TableLibraryBarriers[Type],TableLibraryBarriers[CostUnitLength]),""))</f>
        <v/>
      </c>
      <c r="X143" t="str">
        <f>IF(F143="","",IFERROR(_xlfn.XLOOKUP(F143,TableLibraryBarriers[Type],TableLibraryBarriers[Notes]),""))</f>
        <v/>
      </c>
      <c r="Y143" s="19"/>
      <c r="Z143" s="19"/>
    </row>
    <row r="144" spans="1:26">
      <c r="A144" t="str">
        <f t="shared" si="2"/>
        <v/>
      </c>
      <c r="C144" s="21"/>
      <c r="D144" s="21"/>
      <c r="E144" s="19"/>
      <c r="G144" s="16" t="str">
        <f>IF(BarriersTable[[#This Row],[PKStartValue]]="","",IF(C144="","",INT(C144/1000)&amp;"+"&amp;TEXT(MOD(C144,1000),"000.00")))</f>
        <v/>
      </c>
      <c r="H144" s="16" t="str">
        <f>IF(BarriersTable[[#This Row],[PKEndValue]]="","",IF(D144="","",INT(D144/1000)&amp;"+"&amp;TEXT(MOD(D144,1000),"000.00")))</f>
        <v/>
      </c>
      <c r="I144" t="str">
        <f>IF(F144="","",IFERROR(_xlfn.XLOOKUP(F144,TableLibraryBarriers[Type],TableLibraryBarriers[BarrierFamily]),""))</f>
        <v/>
      </c>
      <c r="J144" t="str">
        <f>IF(F144="","",IFERROR(_xlfn.XLOOKUP(F144,TableLibraryBarriers[Type],TableLibraryBarriers[BarrierType]),""))</f>
        <v/>
      </c>
      <c r="K144" t="str">
        <f>IF(F144="","",IFERROR(_xlfn.XLOOKUP(F144,TableLibraryBarriers[Type],TableLibraryBarriers[BlockLinear]),""))</f>
        <v/>
      </c>
      <c r="L144" t="str">
        <f>IF(F144="","",IFERROR(_xlfn.XLOOKUP(F144,TableLibraryBarriers[Type],TableLibraryBarriers[BlockPost]),""))</f>
        <v/>
      </c>
      <c r="M144" t="str">
        <f>IF(F144="","",IFERROR(_xlfn.XLOOKUP(F144,TableLibraryBarriers[Type],TableLibraryBarriers[IFCEntity]),""))</f>
        <v/>
      </c>
      <c r="N144" t="str">
        <f>IF(F144="","",IFERROR(_xlfn.XLOOKUP(F144,TableLibraryBarriers[Type],TableLibraryBarriers[Material]),""))</f>
        <v/>
      </c>
      <c r="O144" t="str">
        <f>IF(F144="","",IFERROR(_xlfn.XLOOKUP(F144,TableLibraryBarriers[Type],TableLibraryBarriers[PostSpacing]),""))</f>
        <v/>
      </c>
      <c r="P144" t="str">
        <f>IF(F144="","",IFERROR(_xlfn.XLOOKUP(F144,TableLibraryBarriers[Type],TableLibraryBarriers[ModuleLength]),""))</f>
        <v/>
      </c>
      <c r="Q144" t="str">
        <f>IF(F144="","",IFERROR(_xlfn.XLOOKUP(F144,TableLibraryBarriers[Type],TableLibraryBarriers[Height]),""))</f>
        <v/>
      </c>
      <c r="R144" t="str">
        <f>IF(F144="","",IFERROR(_xlfn.XLOOKUP(F144,TableLibraryBarriers[Type],TableLibraryBarriers[Width]),""))</f>
        <v/>
      </c>
      <c r="S144" t="str">
        <f>IF(F144="","",IFERROR(_xlfn.XLOOKUP(F144,TableLibraryBarriers[Type],TableLibraryBarriers[ContainmentLevel]),""))</f>
        <v/>
      </c>
      <c r="T144" t="str">
        <f>IF(F144="","",IFERROR(_xlfn.XLOOKUP(F144,TableLibraryBarriers[Type],TableLibraryBarriers[WorkingWidth]),""))</f>
        <v/>
      </c>
      <c r="U144" t="str">
        <f>IF(F144="","",IFERROR(_xlfn.XLOOKUP(F144,TableLibraryBarriers[Type],TableLibraryBarriers[Layer]),""))</f>
        <v/>
      </c>
      <c r="V144" t="str">
        <f>IF(F144="","",IFERROR(_xlfn.XLOOKUP(F144,TableLibraryBarriers[Type],TableLibraryBarriers[TimeUnitLength(h)]),""))</f>
        <v/>
      </c>
      <c r="W144" t="str">
        <f>IF(F144="","",IFERROR(_xlfn.XLOOKUP(F144,TableLibraryBarriers[Type],TableLibraryBarriers[CostUnitLength]),""))</f>
        <v/>
      </c>
      <c r="X144" t="str">
        <f>IF(F144="","",IFERROR(_xlfn.XLOOKUP(F144,TableLibraryBarriers[Type],TableLibraryBarriers[Notes]),""))</f>
        <v/>
      </c>
      <c r="Y144" s="19"/>
      <c r="Z144" s="19"/>
    </row>
    <row r="145" spans="1:26">
      <c r="A145" t="str">
        <f t="shared" si="2"/>
        <v/>
      </c>
      <c r="C145" s="21"/>
      <c r="D145" s="21"/>
      <c r="E145" s="19"/>
      <c r="G145" s="16" t="str">
        <f>IF(BarriersTable[[#This Row],[PKStartValue]]="","",IF(C145="","",INT(C145/1000)&amp;"+"&amp;TEXT(MOD(C145,1000),"000.00")))</f>
        <v/>
      </c>
      <c r="H145" s="16" t="str">
        <f>IF(BarriersTable[[#This Row],[PKEndValue]]="","",IF(D145="","",INT(D145/1000)&amp;"+"&amp;TEXT(MOD(D145,1000),"000.00")))</f>
        <v/>
      </c>
      <c r="I145" t="str">
        <f>IF(F145="","",IFERROR(_xlfn.XLOOKUP(F145,TableLibraryBarriers[Type],TableLibraryBarriers[BarrierFamily]),""))</f>
        <v/>
      </c>
      <c r="J145" t="str">
        <f>IF(F145="","",IFERROR(_xlfn.XLOOKUP(F145,TableLibraryBarriers[Type],TableLibraryBarriers[BarrierType]),""))</f>
        <v/>
      </c>
      <c r="K145" t="str">
        <f>IF(F145="","",IFERROR(_xlfn.XLOOKUP(F145,TableLibraryBarriers[Type],TableLibraryBarriers[BlockLinear]),""))</f>
        <v/>
      </c>
      <c r="L145" t="str">
        <f>IF(F145="","",IFERROR(_xlfn.XLOOKUP(F145,TableLibraryBarriers[Type],TableLibraryBarriers[BlockPost]),""))</f>
        <v/>
      </c>
      <c r="M145" t="str">
        <f>IF(F145="","",IFERROR(_xlfn.XLOOKUP(F145,TableLibraryBarriers[Type],TableLibraryBarriers[IFCEntity]),""))</f>
        <v/>
      </c>
      <c r="N145" t="str">
        <f>IF(F145="","",IFERROR(_xlfn.XLOOKUP(F145,TableLibraryBarriers[Type],TableLibraryBarriers[Material]),""))</f>
        <v/>
      </c>
      <c r="O145" t="str">
        <f>IF(F145="","",IFERROR(_xlfn.XLOOKUP(F145,TableLibraryBarriers[Type],TableLibraryBarriers[PostSpacing]),""))</f>
        <v/>
      </c>
      <c r="P145" t="str">
        <f>IF(F145="","",IFERROR(_xlfn.XLOOKUP(F145,TableLibraryBarriers[Type],TableLibraryBarriers[ModuleLength]),""))</f>
        <v/>
      </c>
      <c r="Q145" t="str">
        <f>IF(F145="","",IFERROR(_xlfn.XLOOKUP(F145,TableLibraryBarriers[Type],TableLibraryBarriers[Height]),""))</f>
        <v/>
      </c>
      <c r="R145" t="str">
        <f>IF(F145="","",IFERROR(_xlfn.XLOOKUP(F145,TableLibraryBarriers[Type],TableLibraryBarriers[Width]),""))</f>
        <v/>
      </c>
      <c r="S145" t="str">
        <f>IF(F145="","",IFERROR(_xlfn.XLOOKUP(F145,TableLibraryBarriers[Type],TableLibraryBarriers[ContainmentLevel]),""))</f>
        <v/>
      </c>
      <c r="T145" t="str">
        <f>IF(F145="","",IFERROR(_xlfn.XLOOKUP(F145,TableLibraryBarriers[Type],TableLibraryBarriers[WorkingWidth]),""))</f>
        <v/>
      </c>
      <c r="U145" t="str">
        <f>IF(F145="","",IFERROR(_xlfn.XLOOKUP(F145,TableLibraryBarriers[Type],TableLibraryBarriers[Layer]),""))</f>
        <v/>
      </c>
      <c r="V145" t="str">
        <f>IF(F145="","",IFERROR(_xlfn.XLOOKUP(F145,TableLibraryBarriers[Type],TableLibraryBarriers[TimeUnitLength(h)]),""))</f>
        <v/>
      </c>
      <c r="W145" t="str">
        <f>IF(F145="","",IFERROR(_xlfn.XLOOKUP(F145,TableLibraryBarriers[Type],TableLibraryBarriers[CostUnitLength]),""))</f>
        <v/>
      </c>
      <c r="X145" t="str">
        <f>IF(F145="","",IFERROR(_xlfn.XLOOKUP(F145,TableLibraryBarriers[Type],TableLibraryBarriers[Notes]),""))</f>
        <v/>
      </c>
      <c r="Y145" s="19"/>
      <c r="Z145" s="19"/>
    </row>
    <row r="146" spans="1:26">
      <c r="A146" t="str">
        <f t="shared" si="2"/>
        <v/>
      </c>
      <c r="C146" s="21"/>
      <c r="D146" s="21"/>
      <c r="E146" s="19"/>
      <c r="G146" s="16" t="str">
        <f>IF(BarriersTable[[#This Row],[PKStartValue]]="","",IF(C146="","",INT(C146/1000)&amp;"+"&amp;TEXT(MOD(C146,1000),"000.00")))</f>
        <v/>
      </c>
      <c r="H146" s="16" t="str">
        <f>IF(BarriersTable[[#This Row],[PKEndValue]]="","",IF(D146="","",INT(D146/1000)&amp;"+"&amp;TEXT(MOD(D146,1000),"000.00")))</f>
        <v/>
      </c>
      <c r="I146" t="str">
        <f>IF(F146="","",IFERROR(_xlfn.XLOOKUP(F146,TableLibraryBarriers[Type],TableLibraryBarriers[BarrierFamily]),""))</f>
        <v/>
      </c>
      <c r="J146" t="str">
        <f>IF(F146="","",IFERROR(_xlfn.XLOOKUP(F146,TableLibraryBarriers[Type],TableLibraryBarriers[BarrierType]),""))</f>
        <v/>
      </c>
      <c r="K146" t="str">
        <f>IF(F146="","",IFERROR(_xlfn.XLOOKUP(F146,TableLibraryBarriers[Type],TableLibraryBarriers[BlockLinear]),""))</f>
        <v/>
      </c>
      <c r="L146" t="str">
        <f>IF(F146="","",IFERROR(_xlfn.XLOOKUP(F146,TableLibraryBarriers[Type],TableLibraryBarriers[BlockPost]),""))</f>
        <v/>
      </c>
      <c r="M146" t="str">
        <f>IF(F146="","",IFERROR(_xlfn.XLOOKUP(F146,TableLibraryBarriers[Type],TableLibraryBarriers[IFCEntity]),""))</f>
        <v/>
      </c>
      <c r="N146" t="str">
        <f>IF(F146="","",IFERROR(_xlfn.XLOOKUP(F146,TableLibraryBarriers[Type],TableLibraryBarriers[Material]),""))</f>
        <v/>
      </c>
      <c r="O146" t="str">
        <f>IF(F146="","",IFERROR(_xlfn.XLOOKUP(F146,TableLibraryBarriers[Type],TableLibraryBarriers[PostSpacing]),""))</f>
        <v/>
      </c>
      <c r="P146" t="str">
        <f>IF(F146="","",IFERROR(_xlfn.XLOOKUP(F146,TableLibraryBarriers[Type],TableLibraryBarriers[ModuleLength]),""))</f>
        <v/>
      </c>
      <c r="Q146" t="str">
        <f>IF(F146="","",IFERROR(_xlfn.XLOOKUP(F146,TableLibraryBarriers[Type],TableLibraryBarriers[Height]),""))</f>
        <v/>
      </c>
      <c r="R146" t="str">
        <f>IF(F146="","",IFERROR(_xlfn.XLOOKUP(F146,TableLibraryBarriers[Type],TableLibraryBarriers[Width]),""))</f>
        <v/>
      </c>
      <c r="S146" t="str">
        <f>IF(F146="","",IFERROR(_xlfn.XLOOKUP(F146,TableLibraryBarriers[Type],TableLibraryBarriers[ContainmentLevel]),""))</f>
        <v/>
      </c>
      <c r="T146" t="str">
        <f>IF(F146="","",IFERROR(_xlfn.XLOOKUP(F146,TableLibraryBarriers[Type],TableLibraryBarriers[WorkingWidth]),""))</f>
        <v/>
      </c>
      <c r="U146" t="str">
        <f>IF(F146="","",IFERROR(_xlfn.XLOOKUP(F146,TableLibraryBarriers[Type],TableLibraryBarriers[Layer]),""))</f>
        <v/>
      </c>
      <c r="V146" t="str">
        <f>IF(F146="","",IFERROR(_xlfn.XLOOKUP(F146,TableLibraryBarriers[Type],TableLibraryBarriers[TimeUnitLength(h)]),""))</f>
        <v/>
      </c>
      <c r="W146" t="str">
        <f>IF(F146="","",IFERROR(_xlfn.XLOOKUP(F146,TableLibraryBarriers[Type],TableLibraryBarriers[CostUnitLength]),""))</f>
        <v/>
      </c>
      <c r="X146" t="str">
        <f>IF(F146="","",IFERROR(_xlfn.XLOOKUP(F146,TableLibraryBarriers[Type],TableLibraryBarriers[Notes]),""))</f>
        <v/>
      </c>
      <c r="Y146" s="19"/>
      <c r="Z146" s="19"/>
    </row>
    <row r="147" spans="1:26">
      <c r="A147" t="str">
        <f t="shared" si="2"/>
        <v/>
      </c>
      <c r="C147" s="21"/>
      <c r="D147" s="21"/>
      <c r="E147" s="19"/>
      <c r="G147" s="16" t="str">
        <f>IF(BarriersTable[[#This Row],[PKStartValue]]="","",IF(C147="","",INT(C147/1000)&amp;"+"&amp;TEXT(MOD(C147,1000),"000.00")))</f>
        <v/>
      </c>
      <c r="H147" s="16" t="str">
        <f>IF(BarriersTable[[#This Row],[PKEndValue]]="","",IF(D147="","",INT(D147/1000)&amp;"+"&amp;TEXT(MOD(D147,1000),"000.00")))</f>
        <v/>
      </c>
      <c r="I147" t="str">
        <f>IF(F147="","",IFERROR(_xlfn.XLOOKUP(F147,TableLibraryBarriers[Type],TableLibraryBarriers[BarrierFamily]),""))</f>
        <v/>
      </c>
      <c r="J147" t="str">
        <f>IF(F147="","",IFERROR(_xlfn.XLOOKUP(F147,TableLibraryBarriers[Type],TableLibraryBarriers[BarrierType]),""))</f>
        <v/>
      </c>
      <c r="K147" t="str">
        <f>IF(F147="","",IFERROR(_xlfn.XLOOKUP(F147,TableLibraryBarriers[Type],TableLibraryBarriers[BlockLinear]),""))</f>
        <v/>
      </c>
      <c r="L147" t="str">
        <f>IF(F147="","",IFERROR(_xlfn.XLOOKUP(F147,TableLibraryBarriers[Type],TableLibraryBarriers[BlockPost]),""))</f>
        <v/>
      </c>
      <c r="M147" t="str">
        <f>IF(F147="","",IFERROR(_xlfn.XLOOKUP(F147,TableLibraryBarriers[Type],TableLibraryBarriers[IFCEntity]),""))</f>
        <v/>
      </c>
      <c r="N147" t="str">
        <f>IF(F147="","",IFERROR(_xlfn.XLOOKUP(F147,TableLibraryBarriers[Type],TableLibraryBarriers[Material]),""))</f>
        <v/>
      </c>
      <c r="O147" t="str">
        <f>IF(F147="","",IFERROR(_xlfn.XLOOKUP(F147,TableLibraryBarriers[Type],TableLibraryBarriers[PostSpacing]),""))</f>
        <v/>
      </c>
      <c r="P147" t="str">
        <f>IF(F147="","",IFERROR(_xlfn.XLOOKUP(F147,TableLibraryBarriers[Type],TableLibraryBarriers[ModuleLength]),""))</f>
        <v/>
      </c>
      <c r="Q147" t="str">
        <f>IF(F147="","",IFERROR(_xlfn.XLOOKUP(F147,TableLibraryBarriers[Type],TableLibraryBarriers[Height]),""))</f>
        <v/>
      </c>
      <c r="R147" t="str">
        <f>IF(F147="","",IFERROR(_xlfn.XLOOKUP(F147,TableLibraryBarriers[Type],TableLibraryBarriers[Width]),""))</f>
        <v/>
      </c>
      <c r="S147" t="str">
        <f>IF(F147="","",IFERROR(_xlfn.XLOOKUP(F147,TableLibraryBarriers[Type],TableLibraryBarriers[ContainmentLevel]),""))</f>
        <v/>
      </c>
      <c r="T147" t="str">
        <f>IF(F147="","",IFERROR(_xlfn.XLOOKUP(F147,TableLibraryBarriers[Type],TableLibraryBarriers[WorkingWidth]),""))</f>
        <v/>
      </c>
      <c r="U147" t="str">
        <f>IF(F147="","",IFERROR(_xlfn.XLOOKUP(F147,TableLibraryBarriers[Type],TableLibraryBarriers[Layer]),""))</f>
        <v/>
      </c>
      <c r="V147" t="str">
        <f>IF(F147="","",IFERROR(_xlfn.XLOOKUP(F147,TableLibraryBarriers[Type],TableLibraryBarriers[TimeUnitLength(h)]),""))</f>
        <v/>
      </c>
      <c r="W147" t="str">
        <f>IF(F147="","",IFERROR(_xlfn.XLOOKUP(F147,TableLibraryBarriers[Type],TableLibraryBarriers[CostUnitLength]),""))</f>
        <v/>
      </c>
      <c r="X147" t="str">
        <f>IF(F147="","",IFERROR(_xlfn.XLOOKUP(F147,TableLibraryBarriers[Type],TableLibraryBarriers[Notes]),""))</f>
        <v/>
      </c>
      <c r="Y147" s="19"/>
      <c r="Z147" s="19"/>
    </row>
    <row r="148" spans="1:26">
      <c r="A148" t="str">
        <f t="shared" si="2"/>
        <v/>
      </c>
      <c r="C148" s="21"/>
      <c r="D148" s="21"/>
      <c r="E148" s="19"/>
      <c r="G148" s="16" t="str">
        <f>IF(BarriersTable[[#This Row],[PKStartValue]]="","",IF(C148="","",INT(C148/1000)&amp;"+"&amp;TEXT(MOD(C148,1000),"000.00")))</f>
        <v/>
      </c>
      <c r="H148" s="16" t="str">
        <f>IF(BarriersTable[[#This Row],[PKEndValue]]="","",IF(D148="","",INT(D148/1000)&amp;"+"&amp;TEXT(MOD(D148,1000),"000.00")))</f>
        <v/>
      </c>
      <c r="I148" t="str">
        <f>IF(F148="","",IFERROR(_xlfn.XLOOKUP(F148,TableLibraryBarriers[Type],TableLibraryBarriers[BarrierFamily]),""))</f>
        <v/>
      </c>
      <c r="J148" t="str">
        <f>IF(F148="","",IFERROR(_xlfn.XLOOKUP(F148,TableLibraryBarriers[Type],TableLibraryBarriers[BarrierType]),""))</f>
        <v/>
      </c>
      <c r="K148" t="str">
        <f>IF(F148="","",IFERROR(_xlfn.XLOOKUP(F148,TableLibraryBarriers[Type],TableLibraryBarriers[BlockLinear]),""))</f>
        <v/>
      </c>
      <c r="L148" t="str">
        <f>IF(F148="","",IFERROR(_xlfn.XLOOKUP(F148,TableLibraryBarriers[Type],TableLibraryBarriers[BlockPost]),""))</f>
        <v/>
      </c>
      <c r="M148" t="str">
        <f>IF(F148="","",IFERROR(_xlfn.XLOOKUP(F148,TableLibraryBarriers[Type],TableLibraryBarriers[IFCEntity]),""))</f>
        <v/>
      </c>
      <c r="N148" t="str">
        <f>IF(F148="","",IFERROR(_xlfn.XLOOKUP(F148,TableLibraryBarriers[Type],TableLibraryBarriers[Material]),""))</f>
        <v/>
      </c>
      <c r="O148" t="str">
        <f>IF(F148="","",IFERROR(_xlfn.XLOOKUP(F148,TableLibraryBarriers[Type],TableLibraryBarriers[PostSpacing]),""))</f>
        <v/>
      </c>
      <c r="P148" t="str">
        <f>IF(F148="","",IFERROR(_xlfn.XLOOKUP(F148,TableLibraryBarriers[Type],TableLibraryBarriers[ModuleLength]),""))</f>
        <v/>
      </c>
      <c r="Q148" t="str">
        <f>IF(F148="","",IFERROR(_xlfn.XLOOKUP(F148,TableLibraryBarriers[Type],TableLibraryBarriers[Height]),""))</f>
        <v/>
      </c>
      <c r="R148" t="str">
        <f>IF(F148="","",IFERROR(_xlfn.XLOOKUP(F148,TableLibraryBarriers[Type],TableLibraryBarriers[Width]),""))</f>
        <v/>
      </c>
      <c r="S148" t="str">
        <f>IF(F148="","",IFERROR(_xlfn.XLOOKUP(F148,TableLibraryBarriers[Type],TableLibraryBarriers[ContainmentLevel]),""))</f>
        <v/>
      </c>
      <c r="T148" t="str">
        <f>IF(F148="","",IFERROR(_xlfn.XLOOKUP(F148,TableLibraryBarriers[Type],TableLibraryBarriers[WorkingWidth]),""))</f>
        <v/>
      </c>
      <c r="U148" t="str">
        <f>IF(F148="","",IFERROR(_xlfn.XLOOKUP(F148,TableLibraryBarriers[Type],TableLibraryBarriers[Layer]),""))</f>
        <v/>
      </c>
      <c r="V148" t="str">
        <f>IF(F148="","",IFERROR(_xlfn.XLOOKUP(F148,TableLibraryBarriers[Type],TableLibraryBarriers[TimeUnitLength(h)]),""))</f>
        <v/>
      </c>
      <c r="W148" t="str">
        <f>IF(F148="","",IFERROR(_xlfn.XLOOKUP(F148,TableLibraryBarriers[Type],TableLibraryBarriers[CostUnitLength]),""))</f>
        <v/>
      </c>
      <c r="X148" t="str">
        <f>IF(F148="","",IFERROR(_xlfn.XLOOKUP(F148,TableLibraryBarriers[Type],TableLibraryBarriers[Notes]),""))</f>
        <v/>
      </c>
      <c r="Y148" s="19"/>
      <c r="Z148" s="19"/>
    </row>
    <row r="149" spans="1:26">
      <c r="A149" t="str">
        <f t="shared" si="2"/>
        <v/>
      </c>
      <c r="C149" s="21"/>
      <c r="D149" s="21"/>
      <c r="E149" s="19"/>
      <c r="G149" s="16" t="str">
        <f>IF(BarriersTable[[#This Row],[PKStartValue]]="","",IF(C149="","",INT(C149/1000)&amp;"+"&amp;TEXT(MOD(C149,1000),"000.00")))</f>
        <v/>
      </c>
      <c r="H149" s="16" t="str">
        <f>IF(BarriersTable[[#This Row],[PKEndValue]]="","",IF(D149="","",INT(D149/1000)&amp;"+"&amp;TEXT(MOD(D149,1000),"000.00")))</f>
        <v/>
      </c>
      <c r="I149" t="str">
        <f>IF(F149="","",IFERROR(_xlfn.XLOOKUP(F149,TableLibraryBarriers[Type],TableLibraryBarriers[BarrierFamily]),""))</f>
        <v/>
      </c>
      <c r="J149" t="str">
        <f>IF(F149="","",IFERROR(_xlfn.XLOOKUP(F149,TableLibraryBarriers[Type],TableLibraryBarriers[BarrierType]),""))</f>
        <v/>
      </c>
      <c r="K149" t="str">
        <f>IF(F149="","",IFERROR(_xlfn.XLOOKUP(F149,TableLibraryBarriers[Type],TableLibraryBarriers[BlockLinear]),""))</f>
        <v/>
      </c>
      <c r="L149" t="str">
        <f>IF(F149="","",IFERROR(_xlfn.XLOOKUP(F149,TableLibraryBarriers[Type],TableLibraryBarriers[BlockPost]),""))</f>
        <v/>
      </c>
      <c r="M149" t="str">
        <f>IF(F149="","",IFERROR(_xlfn.XLOOKUP(F149,TableLibraryBarriers[Type],TableLibraryBarriers[IFCEntity]),""))</f>
        <v/>
      </c>
      <c r="N149" t="str">
        <f>IF(F149="","",IFERROR(_xlfn.XLOOKUP(F149,TableLibraryBarriers[Type],TableLibraryBarriers[Material]),""))</f>
        <v/>
      </c>
      <c r="O149" t="str">
        <f>IF(F149="","",IFERROR(_xlfn.XLOOKUP(F149,TableLibraryBarriers[Type],TableLibraryBarriers[PostSpacing]),""))</f>
        <v/>
      </c>
      <c r="P149" t="str">
        <f>IF(F149="","",IFERROR(_xlfn.XLOOKUP(F149,TableLibraryBarriers[Type],TableLibraryBarriers[ModuleLength]),""))</f>
        <v/>
      </c>
      <c r="Q149" t="str">
        <f>IF(F149="","",IFERROR(_xlfn.XLOOKUP(F149,TableLibraryBarriers[Type],TableLibraryBarriers[Height]),""))</f>
        <v/>
      </c>
      <c r="R149" t="str">
        <f>IF(F149="","",IFERROR(_xlfn.XLOOKUP(F149,TableLibraryBarriers[Type],TableLibraryBarriers[Width]),""))</f>
        <v/>
      </c>
      <c r="S149" t="str">
        <f>IF(F149="","",IFERROR(_xlfn.XLOOKUP(F149,TableLibraryBarriers[Type],TableLibraryBarriers[ContainmentLevel]),""))</f>
        <v/>
      </c>
      <c r="T149" t="str">
        <f>IF(F149="","",IFERROR(_xlfn.XLOOKUP(F149,TableLibraryBarriers[Type],TableLibraryBarriers[WorkingWidth]),""))</f>
        <v/>
      </c>
      <c r="U149" t="str">
        <f>IF(F149="","",IFERROR(_xlfn.XLOOKUP(F149,TableLibraryBarriers[Type],TableLibraryBarriers[Layer]),""))</f>
        <v/>
      </c>
      <c r="V149" t="str">
        <f>IF(F149="","",IFERROR(_xlfn.XLOOKUP(F149,TableLibraryBarriers[Type],TableLibraryBarriers[TimeUnitLength(h)]),""))</f>
        <v/>
      </c>
      <c r="W149" t="str">
        <f>IF(F149="","",IFERROR(_xlfn.XLOOKUP(F149,TableLibraryBarriers[Type],TableLibraryBarriers[CostUnitLength]),""))</f>
        <v/>
      </c>
      <c r="X149" t="str">
        <f>IF(F149="","",IFERROR(_xlfn.XLOOKUP(F149,TableLibraryBarriers[Type],TableLibraryBarriers[Notes]),""))</f>
        <v/>
      </c>
      <c r="Y149" s="19"/>
      <c r="Z149" s="19"/>
    </row>
    <row r="150" spans="1:26">
      <c r="A150" t="str">
        <f t="shared" si="2"/>
        <v/>
      </c>
      <c r="C150" s="21"/>
      <c r="D150" s="21"/>
      <c r="E150" s="19"/>
      <c r="G150" s="16" t="str">
        <f>IF(BarriersTable[[#This Row],[PKStartValue]]="","",IF(C150="","",INT(C150/1000)&amp;"+"&amp;TEXT(MOD(C150,1000),"000.00")))</f>
        <v/>
      </c>
      <c r="H150" s="16" t="str">
        <f>IF(BarriersTable[[#This Row],[PKEndValue]]="","",IF(D150="","",INT(D150/1000)&amp;"+"&amp;TEXT(MOD(D150,1000),"000.00")))</f>
        <v/>
      </c>
      <c r="I150" t="str">
        <f>IF(F150="","",IFERROR(_xlfn.XLOOKUP(F150,TableLibraryBarriers[Type],TableLibraryBarriers[BarrierFamily]),""))</f>
        <v/>
      </c>
      <c r="J150" t="str">
        <f>IF(F150="","",IFERROR(_xlfn.XLOOKUP(F150,TableLibraryBarriers[Type],TableLibraryBarriers[BarrierType]),""))</f>
        <v/>
      </c>
      <c r="K150" t="str">
        <f>IF(F150="","",IFERROR(_xlfn.XLOOKUP(F150,TableLibraryBarriers[Type],TableLibraryBarriers[BlockLinear]),""))</f>
        <v/>
      </c>
      <c r="L150" t="str">
        <f>IF(F150="","",IFERROR(_xlfn.XLOOKUP(F150,TableLibraryBarriers[Type],TableLibraryBarriers[BlockPost]),""))</f>
        <v/>
      </c>
      <c r="M150" t="str">
        <f>IF(F150="","",IFERROR(_xlfn.XLOOKUP(F150,TableLibraryBarriers[Type],TableLibraryBarriers[IFCEntity]),""))</f>
        <v/>
      </c>
      <c r="N150" t="str">
        <f>IF(F150="","",IFERROR(_xlfn.XLOOKUP(F150,TableLibraryBarriers[Type],TableLibraryBarriers[Material]),""))</f>
        <v/>
      </c>
      <c r="O150" t="str">
        <f>IF(F150="","",IFERROR(_xlfn.XLOOKUP(F150,TableLibraryBarriers[Type],TableLibraryBarriers[PostSpacing]),""))</f>
        <v/>
      </c>
      <c r="P150" t="str">
        <f>IF(F150="","",IFERROR(_xlfn.XLOOKUP(F150,TableLibraryBarriers[Type],TableLibraryBarriers[ModuleLength]),""))</f>
        <v/>
      </c>
      <c r="Q150" t="str">
        <f>IF(F150="","",IFERROR(_xlfn.XLOOKUP(F150,TableLibraryBarriers[Type],TableLibraryBarriers[Height]),""))</f>
        <v/>
      </c>
      <c r="R150" t="str">
        <f>IF(F150="","",IFERROR(_xlfn.XLOOKUP(F150,TableLibraryBarriers[Type],TableLibraryBarriers[Width]),""))</f>
        <v/>
      </c>
      <c r="S150" t="str">
        <f>IF(F150="","",IFERROR(_xlfn.XLOOKUP(F150,TableLibraryBarriers[Type],TableLibraryBarriers[ContainmentLevel]),""))</f>
        <v/>
      </c>
      <c r="T150" t="str">
        <f>IF(F150="","",IFERROR(_xlfn.XLOOKUP(F150,TableLibraryBarriers[Type],TableLibraryBarriers[WorkingWidth]),""))</f>
        <v/>
      </c>
      <c r="U150" t="str">
        <f>IF(F150="","",IFERROR(_xlfn.XLOOKUP(F150,TableLibraryBarriers[Type],TableLibraryBarriers[Layer]),""))</f>
        <v/>
      </c>
      <c r="V150" t="str">
        <f>IF(F150="","",IFERROR(_xlfn.XLOOKUP(F150,TableLibraryBarriers[Type],TableLibraryBarriers[TimeUnitLength(h)]),""))</f>
        <v/>
      </c>
      <c r="W150" t="str">
        <f>IF(F150="","",IFERROR(_xlfn.XLOOKUP(F150,TableLibraryBarriers[Type],TableLibraryBarriers[CostUnitLength]),""))</f>
        <v/>
      </c>
      <c r="X150" t="str">
        <f>IF(F150="","",IFERROR(_xlfn.XLOOKUP(F150,TableLibraryBarriers[Type],TableLibraryBarriers[Notes]),""))</f>
        <v/>
      </c>
      <c r="Y150" s="19"/>
      <c r="Z150" s="19"/>
    </row>
    <row r="151" spans="1:26">
      <c r="A151" t="str">
        <f t="shared" si="2"/>
        <v/>
      </c>
      <c r="C151" s="21"/>
      <c r="D151" s="21"/>
      <c r="E151" s="19"/>
      <c r="G151" s="16" t="str">
        <f>IF(BarriersTable[[#This Row],[PKStartValue]]="","",IF(C151="","",INT(C151/1000)&amp;"+"&amp;TEXT(MOD(C151,1000),"000.00")))</f>
        <v/>
      </c>
      <c r="H151" s="16" t="str">
        <f>IF(BarriersTable[[#This Row],[PKEndValue]]="","",IF(D151="","",INT(D151/1000)&amp;"+"&amp;TEXT(MOD(D151,1000),"000.00")))</f>
        <v/>
      </c>
      <c r="I151" t="str">
        <f>IF(F151="","",IFERROR(_xlfn.XLOOKUP(F151,TableLibraryBarriers[Type],TableLibraryBarriers[BarrierFamily]),""))</f>
        <v/>
      </c>
      <c r="J151" t="str">
        <f>IF(F151="","",IFERROR(_xlfn.XLOOKUP(F151,TableLibraryBarriers[Type],TableLibraryBarriers[BarrierType]),""))</f>
        <v/>
      </c>
      <c r="K151" t="str">
        <f>IF(F151="","",IFERROR(_xlfn.XLOOKUP(F151,TableLibraryBarriers[Type],TableLibraryBarriers[BlockLinear]),""))</f>
        <v/>
      </c>
      <c r="L151" t="str">
        <f>IF(F151="","",IFERROR(_xlfn.XLOOKUP(F151,TableLibraryBarriers[Type],TableLibraryBarriers[BlockPost]),""))</f>
        <v/>
      </c>
      <c r="M151" t="str">
        <f>IF(F151="","",IFERROR(_xlfn.XLOOKUP(F151,TableLibraryBarriers[Type],TableLibraryBarriers[IFCEntity]),""))</f>
        <v/>
      </c>
      <c r="N151" t="str">
        <f>IF(F151="","",IFERROR(_xlfn.XLOOKUP(F151,TableLibraryBarriers[Type],TableLibraryBarriers[Material]),""))</f>
        <v/>
      </c>
      <c r="O151" t="str">
        <f>IF(F151="","",IFERROR(_xlfn.XLOOKUP(F151,TableLibraryBarriers[Type],TableLibraryBarriers[PostSpacing]),""))</f>
        <v/>
      </c>
      <c r="P151" t="str">
        <f>IF(F151="","",IFERROR(_xlfn.XLOOKUP(F151,TableLibraryBarriers[Type],TableLibraryBarriers[ModuleLength]),""))</f>
        <v/>
      </c>
      <c r="Q151" t="str">
        <f>IF(F151="","",IFERROR(_xlfn.XLOOKUP(F151,TableLibraryBarriers[Type],TableLibraryBarriers[Height]),""))</f>
        <v/>
      </c>
      <c r="R151" t="str">
        <f>IF(F151="","",IFERROR(_xlfn.XLOOKUP(F151,TableLibraryBarriers[Type],TableLibraryBarriers[Width]),""))</f>
        <v/>
      </c>
      <c r="S151" t="str">
        <f>IF(F151="","",IFERROR(_xlfn.XLOOKUP(F151,TableLibraryBarriers[Type],TableLibraryBarriers[ContainmentLevel]),""))</f>
        <v/>
      </c>
      <c r="T151" t="str">
        <f>IF(F151="","",IFERROR(_xlfn.XLOOKUP(F151,TableLibraryBarriers[Type],TableLibraryBarriers[WorkingWidth]),""))</f>
        <v/>
      </c>
      <c r="U151" t="str">
        <f>IF(F151="","",IFERROR(_xlfn.XLOOKUP(F151,TableLibraryBarriers[Type],TableLibraryBarriers[Layer]),""))</f>
        <v/>
      </c>
      <c r="V151" t="str">
        <f>IF(F151="","",IFERROR(_xlfn.XLOOKUP(F151,TableLibraryBarriers[Type],TableLibraryBarriers[TimeUnitLength(h)]),""))</f>
        <v/>
      </c>
      <c r="W151" t="str">
        <f>IF(F151="","",IFERROR(_xlfn.XLOOKUP(F151,TableLibraryBarriers[Type],TableLibraryBarriers[CostUnitLength]),""))</f>
        <v/>
      </c>
      <c r="X151" t="str">
        <f>IF(F151="","",IFERROR(_xlfn.XLOOKUP(F151,TableLibraryBarriers[Type],TableLibraryBarriers[Notes]),""))</f>
        <v/>
      </c>
      <c r="Y151" s="19"/>
      <c r="Z151" s="19"/>
    </row>
    <row r="152" spans="1:26">
      <c r="A152" t="str">
        <f t="shared" si="2"/>
        <v/>
      </c>
      <c r="C152" s="21"/>
      <c r="D152" s="21"/>
      <c r="E152" s="19"/>
      <c r="G152" s="16" t="str">
        <f>IF(BarriersTable[[#This Row],[PKStartValue]]="","",IF(C152="","",INT(C152/1000)&amp;"+"&amp;TEXT(MOD(C152,1000),"000.00")))</f>
        <v/>
      </c>
      <c r="H152" s="16" t="str">
        <f>IF(BarriersTable[[#This Row],[PKEndValue]]="","",IF(D152="","",INT(D152/1000)&amp;"+"&amp;TEXT(MOD(D152,1000),"000.00")))</f>
        <v/>
      </c>
      <c r="I152" t="str">
        <f>IF(F152="","",IFERROR(_xlfn.XLOOKUP(F152,TableLibraryBarriers[Type],TableLibraryBarriers[BarrierFamily]),""))</f>
        <v/>
      </c>
      <c r="J152" t="str">
        <f>IF(F152="","",IFERROR(_xlfn.XLOOKUP(F152,TableLibraryBarriers[Type],TableLibraryBarriers[BarrierType]),""))</f>
        <v/>
      </c>
      <c r="K152" t="str">
        <f>IF(F152="","",IFERROR(_xlfn.XLOOKUP(F152,TableLibraryBarriers[Type],TableLibraryBarriers[BlockLinear]),""))</f>
        <v/>
      </c>
      <c r="L152" t="str">
        <f>IF(F152="","",IFERROR(_xlfn.XLOOKUP(F152,TableLibraryBarriers[Type],TableLibraryBarriers[BlockPost]),""))</f>
        <v/>
      </c>
      <c r="M152" t="str">
        <f>IF(F152="","",IFERROR(_xlfn.XLOOKUP(F152,TableLibraryBarriers[Type],TableLibraryBarriers[IFCEntity]),""))</f>
        <v/>
      </c>
      <c r="N152" t="str">
        <f>IF(F152="","",IFERROR(_xlfn.XLOOKUP(F152,TableLibraryBarriers[Type],TableLibraryBarriers[Material]),""))</f>
        <v/>
      </c>
      <c r="O152" t="str">
        <f>IF(F152="","",IFERROR(_xlfn.XLOOKUP(F152,TableLibraryBarriers[Type],TableLibraryBarriers[PostSpacing]),""))</f>
        <v/>
      </c>
      <c r="P152" t="str">
        <f>IF(F152="","",IFERROR(_xlfn.XLOOKUP(F152,TableLibraryBarriers[Type],TableLibraryBarriers[ModuleLength]),""))</f>
        <v/>
      </c>
      <c r="Q152" t="str">
        <f>IF(F152="","",IFERROR(_xlfn.XLOOKUP(F152,TableLibraryBarriers[Type],TableLibraryBarriers[Height]),""))</f>
        <v/>
      </c>
      <c r="R152" t="str">
        <f>IF(F152="","",IFERROR(_xlfn.XLOOKUP(F152,TableLibraryBarriers[Type],TableLibraryBarriers[Width]),""))</f>
        <v/>
      </c>
      <c r="S152" t="str">
        <f>IF(F152="","",IFERROR(_xlfn.XLOOKUP(F152,TableLibraryBarriers[Type],TableLibraryBarriers[ContainmentLevel]),""))</f>
        <v/>
      </c>
      <c r="T152" t="str">
        <f>IF(F152="","",IFERROR(_xlfn.XLOOKUP(F152,TableLibraryBarriers[Type],TableLibraryBarriers[WorkingWidth]),""))</f>
        <v/>
      </c>
      <c r="U152" t="str">
        <f>IF(F152="","",IFERROR(_xlfn.XLOOKUP(F152,TableLibraryBarriers[Type],TableLibraryBarriers[Layer]),""))</f>
        <v/>
      </c>
      <c r="V152" t="str">
        <f>IF(F152="","",IFERROR(_xlfn.XLOOKUP(F152,TableLibraryBarriers[Type],TableLibraryBarriers[TimeUnitLength(h)]),""))</f>
        <v/>
      </c>
      <c r="W152" t="str">
        <f>IF(F152="","",IFERROR(_xlfn.XLOOKUP(F152,TableLibraryBarriers[Type],TableLibraryBarriers[CostUnitLength]),""))</f>
        <v/>
      </c>
      <c r="X152" t="str">
        <f>IF(F152="","",IFERROR(_xlfn.XLOOKUP(F152,TableLibraryBarriers[Type],TableLibraryBarriers[Notes]),""))</f>
        <v/>
      </c>
      <c r="Y152" s="19"/>
      <c r="Z152" s="19"/>
    </row>
    <row r="153" spans="1:26">
      <c r="A153" t="str">
        <f t="shared" si="2"/>
        <v/>
      </c>
      <c r="C153" s="21"/>
      <c r="D153" s="21"/>
      <c r="E153" s="19"/>
      <c r="G153" s="16" t="str">
        <f>IF(BarriersTable[[#This Row],[PKStartValue]]="","",IF(C153="","",INT(C153/1000)&amp;"+"&amp;TEXT(MOD(C153,1000),"000.00")))</f>
        <v/>
      </c>
      <c r="H153" s="16" t="str">
        <f>IF(BarriersTable[[#This Row],[PKEndValue]]="","",IF(D153="","",INT(D153/1000)&amp;"+"&amp;TEXT(MOD(D153,1000),"000.00")))</f>
        <v/>
      </c>
      <c r="I153" t="str">
        <f>IF(F153="","",IFERROR(_xlfn.XLOOKUP(F153,TableLibraryBarriers[Type],TableLibraryBarriers[BarrierFamily]),""))</f>
        <v/>
      </c>
      <c r="J153" t="str">
        <f>IF(F153="","",IFERROR(_xlfn.XLOOKUP(F153,TableLibraryBarriers[Type],TableLibraryBarriers[BarrierType]),""))</f>
        <v/>
      </c>
      <c r="K153" t="str">
        <f>IF(F153="","",IFERROR(_xlfn.XLOOKUP(F153,TableLibraryBarriers[Type],TableLibraryBarriers[BlockLinear]),""))</f>
        <v/>
      </c>
      <c r="L153" t="str">
        <f>IF(F153="","",IFERROR(_xlfn.XLOOKUP(F153,TableLibraryBarriers[Type],TableLibraryBarriers[BlockPost]),""))</f>
        <v/>
      </c>
      <c r="M153" t="str">
        <f>IF(F153="","",IFERROR(_xlfn.XLOOKUP(F153,TableLibraryBarriers[Type],TableLibraryBarriers[IFCEntity]),""))</f>
        <v/>
      </c>
      <c r="N153" t="str">
        <f>IF(F153="","",IFERROR(_xlfn.XLOOKUP(F153,TableLibraryBarriers[Type],TableLibraryBarriers[Material]),""))</f>
        <v/>
      </c>
      <c r="O153" t="str">
        <f>IF(F153="","",IFERROR(_xlfn.XLOOKUP(F153,TableLibraryBarriers[Type],TableLibraryBarriers[PostSpacing]),""))</f>
        <v/>
      </c>
      <c r="P153" t="str">
        <f>IF(F153="","",IFERROR(_xlfn.XLOOKUP(F153,TableLibraryBarriers[Type],TableLibraryBarriers[ModuleLength]),""))</f>
        <v/>
      </c>
      <c r="Q153" t="str">
        <f>IF(F153="","",IFERROR(_xlfn.XLOOKUP(F153,TableLibraryBarriers[Type],TableLibraryBarriers[Height]),""))</f>
        <v/>
      </c>
      <c r="R153" t="str">
        <f>IF(F153="","",IFERROR(_xlfn.XLOOKUP(F153,TableLibraryBarriers[Type],TableLibraryBarriers[Width]),""))</f>
        <v/>
      </c>
      <c r="S153" t="str">
        <f>IF(F153="","",IFERROR(_xlfn.XLOOKUP(F153,TableLibraryBarriers[Type],TableLibraryBarriers[ContainmentLevel]),""))</f>
        <v/>
      </c>
      <c r="T153" t="str">
        <f>IF(F153="","",IFERROR(_xlfn.XLOOKUP(F153,TableLibraryBarriers[Type],TableLibraryBarriers[WorkingWidth]),""))</f>
        <v/>
      </c>
      <c r="U153" t="str">
        <f>IF(F153="","",IFERROR(_xlfn.XLOOKUP(F153,TableLibraryBarriers[Type],TableLibraryBarriers[Layer]),""))</f>
        <v/>
      </c>
      <c r="V153" t="str">
        <f>IF(F153="","",IFERROR(_xlfn.XLOOKUP(F153,TableLibraryBarriers[Type],TableLibraryBarriers[TimeUnitLength(h)]),""))</f>
        <v/>
      </c>
      <c r="W153" t="str">
        <f>IF(F153="","",IFERROR(_xlfn.XLOOKUP(F153,TableLibraryBarriers[Type],TableLibraryBarriers[CostUnitLength]),""))</f>
        <v/>
      </c>
      <c r="X153" t="str">
        <f>IF(F153="","",IFERROR(_xlfn.XLOOKUP(F153,TableLibraryBarriers[Type],TableLibraryBarriers[Notes]),""))</f>
        <v/>
      </c>
      <c r="Y153" s="19"/>
      <c r="Z153" s="19"/>
    </row>
    <row r="154" spans="1:26">
      <c r="A154" t="str">
        <f t="shared" si="2"/>
        <v/>
      </c>
      <c r="C154" s="21"/>
      <c r="D154" s="21"/>
      <c r="E154" s="19"/>
      <c r="G154" s="16" t="str">
        <f>IF(BarriersTable[[#This Row],[PKStartValue]]="","",IF(C154="","",INT(C154/1000)&amp;"+"&amp;TEXT(MOD(C154,1000),"000.00")))</f>
        <v/>
      </c>
      <c r="H154" s="16" t="str">
        <f>IF(BarriersTable[[#This Row],[PKEndValue]]="","",IF(D154="","",INT(D154/1000)&amp;"+"&amp;TEXT(MOD(D154,1000),"000.00")))</f>
        <v/>
      </c>
      <c r="I154" t="str">
        <f>IF(F154="","",IFERROR(_xlfn.XLOOKUP(F154,TableLibraryBarriers[Type],TableLibraryBarriers[BarrierFamily]),""))</f>
        <v/>
      </c>
      <c r="J154" t="str">
        <f>IF(F154="","",IFERROR(_xlfn.XLOOKUP(F154,TableLibraryBarriers[Type],TableLibraryBarriers[BarrierType]),""))</f>
        <v/>
      </c>
      <c r="K154" t="str">
        <f>IF(F154="","",IFERROR(_xlfn.XLOOKUP(F154,TableLibraryBarriers[Type],TableLibraryBarriers[BlockLinear]),""))</f>
        <v/>
      </c>
      <c r="L154" t="str">
        <f>IF(F154="","",IFERROR(_xlfn.XLOOKUP(F154,TableLibraryBarriers[Type],TableLibraryBarriers[BlockPost]),""))</f>
        <v/>
      </c>
      <c r="M154" t="str">
        <f>IF(F154="","",IFERROR(_xlfn.XLOOKUP(F154,TableLibraryBarriers[Type],TableLibraryBarriers[IFCEntity]),""))</f>
        <v/>
      </c>
      <c r="N154" t="str">
        <f>IF(F154="","",IFERROR(_xlfn.XLOOKUP(F154,TableLibraryBarriers[Type],TableLibraryBarriers[Material]),""))</f>
        <v/>
      </c>
      <c r="O154" t="str">
        <f>IF(F154="","",IFERROR(_xlfn.XLOOKUP(F154,TableLibraryBarriers[Type],TableLibraryBarriers[PostSpacing]),""))</f>
        <v/>
      </c>
      <c r="P154" t="str">
        <f>IF(F154="","",IFERROR(_xlfn.XLOOKUP(F154,TableLibraryBarriers[Type],TableLibraryBarriers[ModuleLength]),""))</f>
        <v/>
      </c>
      <c r="Q154" t="str">
        <f>IF(F154="","",IFERROR(_xlfn.XLOOKUP(F154,TableLibraryBarriers[Type],TableLibraryBarriers[Height]),""))</f>
        <v/>
      </c>
      <c r="R154" t="str">
        <f>IF(F154="","",IFERROR(_xlfn.XLOOKUP(F154,TableLibraryBarriers[Type],TableLibraryBarriers[Width]),""))</f>
        <v/>
      </c>
      <c r="S154" t="str">
        <f>IF(F154="","",IFERROR(_xlfn.XLOOKUP(F154,TableLibraryBarriers[Type],TableLibraryBarriers[ContainmentLevel]),""))</f>
        <v/>
      </c>
      <c r="T154" t="str">
        <f>IF(F154="","",IFERROR(_xlfn.XLOOKUP(F154,TableLibraryBarriers[Type],TableLibraryBarriers[WorkingWidth]),""))</f>
        <v/>
      </c>
      <c r="U154" t="str">
        <f>IF(F154="","",IFERROR(_xlfn.XLOOKUP(F154,TableLibraryBarriers[Type],TableLibraryBarriers[Layer]),""))</f>
        <v/>
      </c>
      <c r="V154" t="str">
        <f>IF(F154="","",IFERROR(_xlfn.XLOOKUP(F154,TableLibraryBarriers[Type],TableLibraryBarriers[TimeUnitLength(h)]),""))</f>
        <v/>
      </c>
      <c r="W154" t="str">
        <f>IF(F154="","",IFERROR(_xlfn.XLOOKUP(F154,TableLibraryBarriers[Type],TableLibraryBarriers[CostUnitLength]),""))</f>
        <v/>
      </c>
      <c r="X154" t="str">
        <f>IF(F154="","",IFERROR(_xlfn.XLOOKUP(F154,TableLibraryBarriers[Type],TableLibraryBarriers[Notes]),""))</f>
        <v/>
      </c>
      <c r="Y154" s="19"/>
      <c r="Z154" s="19"/>
    </row>
    <row r="155" spans="1:26">
      <c r="A155" t="str">
        <f t="shared" si="2"/>
        <v/>
      </c>
      <c r="C155" s="21"/>
      <c r="D155" s="21"/>
      <c r="E155" s="19"/>
      <c r="G155" s="16" t="str">
        <f>IF(BarriersTable[[#This Row],[PKStartValue]]="","",IF(C155="","",INT(C155/1000)&amp;"+"&amp;TEXT(MOD(C155,1000),"000.00")))</f>
        <v/>
      </c>
      <c r="H155" s="16" t="str">
        <f>IF(BarriersTable[[#This Row],[PKEndValue]]="","",IF(D155="","",INT(D155/1000)&amp;"+"&amp;TEXT(MOD(D155,1000),"000.00")))</f>
        <v/>
      </c>
      <c r="I155" t="str">
        <f>IF(F155="","",IFERROR(_xlfn.XLOOKUP(F155,TableLibraryBarriers[Type],TableLibraryBarriers[BarrierFamily]),""))</f>
        <v/>
      </c>
      <c r="J155" t="str">
        <f>IF(F155="","",IFERROR(_xlfn.XLOOKUP(F155,TableLibraryBarriers[Type],TableLibraryBarriers[BarrierType]),""))</f>
        <v/>
      </c>
      <c r="K155" t="str">
        <f>IF(F155="","",IFERROR(_xlfn.XLOOKUP(F155,TableLibraryBarriers[Type],TableLibraryBarriers[BlockLinear]),""))</f>
        <v/>
      </c>
      <c r="L155" t="str">
        <f>IF(F155="","",IFERROR(_xlfn.XLOOKUP(F155,TableLibraryBarriers[Type],TableLibraryBarriers[BlockPost]),""))</f>
        <v/>
      </c>
      <c r="M155" t="str">
        <f>IF(F155="","",IFERROR(_xlfn.XLOOKUP(F155,TableLibraryBarriers[Type],TableLibraryBarriers[IFCEntity]),""))</f>
        <v/>
      </c>
      <c r="N155" t="str">
        <f>IF(F155="","",IFERROR(_xlfn.XLOOKUP(F155,TableLibraryBarriers[Type],TableLibraryBarriers[Material]),""))</f>
        <v/>
      </c>
      <c r="O155" t="str">
        <f>IF(F155="","",IFERROR(_xlfn.XLOOKUP(F155,TableLibraryBarriers[Type],TableLibraryBarriers[PostSpacing]),""))</f>
        <v/>
      </c>
      <c r="P155" t="str">
        <f>IF(F155="","",IFERROR(_xlfn.XLOOKUP(F155,TableLibraryBarriers[Type],TableLibraryBarriers[ModuleLength]),""))</f>
        <v/>
      </c>
      <c r="Q155" t="str">
        <f>IF(F155="","",IFERROR(_xlfn.XLOOKUP(F155,TableLibraryBarriers[Type],TableLibraryBarriers[Height]),""))</f>
        <v/>
      </c>
      <c r="R155" t="str">
        <f>IF(F155="","",IFERROR(_xlfn.XLOOKUP(F155,TableLibraryBarriers[Type],TableLibraryBarriers[Width]),""))</f>
        <v/>
      </c>
      <c r="S155" t="str">
        <f>IF(F155="","",IFERROR(_xlfn.XLOOKUP(F155,TableLibraryBarriers[Type],TableLibraryBarriers[ContainmentLevel]),""))</f>
        <v/>
      </c>
      <c r="T155" t="str">
        <f>IF(F155="","",IFERROR(_xlfn.XLOOKUP(F155,TableLibraryBarriers[Type],TableLibraryBarriers[WorkingWidth]),""))</f>
        <v/>
      </c>
      <c r="U155" t="str">
        <f>IF(F155="","",IFERROR(_xlfn.XLOOKUP(F155,TableLibraryBarriers[Type],TableLibraryBarriers[Layer]),""))</f>
        <v/>
      </c>
      <c r="V155" t="str">
        <f>IF(F155="","",IFERROR(_xlfn.XLOOKUP(F155,TableLibraryBarriers[Type],TableLibraryBarriers[TimeUnitLength(h)]),""))</f>
        <v/>
      </c>
      <c r="W155" t="str">
        <f>IF(F155="","",IFERROR(_xlfn.XLOOKUP(F155,TableLibraryBarriers[Type],TableLibraryBarriers[CostUnitLength]),""))</f>
        <v/>
      </c>
      <c r="X155" t="str">
        <f>IF(F155="","",IFERROR(_xlfn.XLOOKUP(F155,TableLibraryBarriers[Type],TableLibraryBarriers[Notes]),""))</f>
        <v/>
      </c>
      <c r="Y155" s="19"/>
      <c r="Z155" s="19"/>
    </row>
    <row r="156" spans="1:26">
      <c r="A156" t="str">
        <f t="shared" si="2"/>
        <v/>
      </c>
      <c r="C156" s="21"/>
      <c r="D156" s="21"/>
      <c r="E156" s="19"/>
      <c r="G156" s="16" t="str">
        <f>IF(BarriersTable[[#This Row],[PKStartValue]]="","",IF(C156="","",INT(C156/1000)&amp;"+"&amp;TEXT(MOD(C156,1000),"000.00")))</f>
        <v/>
      </c>
      <c r="H156" s="16" t="str">
        <f>IF(BarriersTable[[#This Row],[PKEndValue]]="","",IF(D156="","",INT(D156/1000)&amp;"+"&amp;TEXT(MOD(D156,1000),"000.00")))</f>
        <v/>
      </c>
      <c r="I156" t="str">
        <f>IF(F156="","",IFERROR(_xlfn.XLOOKUP(F156,TableLibraryBarriers[Type],TableLibraryBarriers[BarrierFamily]),""))</f>
        <v/>
      </c>
      <c r="J156" t="str">
        <f>IF(F156="","",IFERROR(_xlfn.XLOOKUP(F156,TableLibraryBarriers[Type],TableLibraryBarriers[BarrierType]),""))</f>
        <v/>
      </c>
      <c r="K156" t="str">
        <f>IF(F156="","",IFERROR(_xlfn.XLOOKUP(F156,TableLibraryBarriers[Type],TableLibraryBarriers[BlockLinear]),""))</f>
        <v/>
      </c>
      <c r="L156" t="str">
        <f>IF(F156="","",IFERROR(_xlfn.XLOOKUP(F156,TableLibraryBarriers[Type],TableLibraryBarriers[BlockPost]),""))</f>
        <v/>
      </c>
      <c r="M156" t="str">
        <f>IF(F156="","",IFERROR(_xlfn.XLOOKUP(F156,TableLibraryBarriers[Type],TableLibraryBarriers[IFCEntity]),""))</f>
        <v/>
      </c>
      <c r="N156" t="str">
        <f>IF(F156="","",IFERROR(_xlfn.XLOOKUP(F156,TableLibraryBarriers[Type],TableLibraryBarriers[Material]),""))</f>
        <v/>
      </c>
      <c r="O156" t="str">
        <f>IF(F156="","",IFERROR(_xlfn.XLOOKUP(F156,TableLibraryBarriers[Type],TableLibraryBarriers[PostSpacing]),""))</f>
        <v/>
      </c>
      <c r="P156" t="str">
        <f>IF(F156="","",IFERROR(_xlfn.XLOOKUP(F156,TableLibraryBarriers[Type],TableLibraryBarriers[ModuleLength]),""))</f>
        <v/>
      </c>
      <c r="Q156" t="str">
        <f>IF(F156="","",IFERROR(_xlfn.XLOOKUP(F156,TableLibraryBarriers[Type],TableLibraryBarriers[Height]),""))</f>
        <v/>
      </c>
      <c r="R156" t="str">
        <f>IF(F156="","",IFERROR(_xlfn.XLOOKUP(F156,TableLibraryBarriers[Type],TableLibraryBarriers[Width]),""))</f>
        <v/>
      </c>
      <c r="S156" t="str">
        <f>IF(F156="","",IFERROR(_xlfn.XLOOKUP(F156,TableLibraryBarriers[Type],TableLibraryBarriers[ContainmentLevel]),""))</f>
        <v/>
      </c>
      <c r="T156" t="str">
        <f>IF(F156="","",IFERROR(_xlfn.XLOOKUP(F156,TableLibraryBarriers[Type],TableLibraryBarriers[WorkingWidth]),""))</f>
        <v/>
      </c>
      <c r="U156" t="str">
        <f>IF(F156="","",IFERROR(_xlfn.XLOOKUP(F156,TableLibraryBarriers[Type],TableLibraryBarriers[Layer]),""))</f>
        <v/>
      </c>
      <c r="V156" t="str">
        <f>IF(F156="","",IFERROR(_xlfn.XLOOKUP(F156,TableLibraryBarriers[Type],TableLibraryBarriers[TimeUnitLength(h)]),""))</f>
        <v/>
      </c>
      <c r="W156" t="str">
        <f>IF(F156="","",IFERROR(_xlfn.XLOOKUP(F156,TableLibraryBarriers[Type],TableLibraryBarriers[CostUnitLength]),""))</f>
        <v/>
      </c>
      <c r="X156" t="str">
        <f>IF(F156="","",IFERROR(_xlfn.XLOOKUP(F156,TableLibraryBarriers[Type],TableLibraryBarriers[Notes]),""))</f>
        <v/>
      </c>
      <c r="Y156" s="19"/>
      <c r="Z156" s="19"/>
    </row>
    <row r="157" spans="1:26">
      <c r="A157" t="str">
        <f t="shared" si="2"/>
        <v/>
      </c>
      <c r="C157" s="21"/>
      <c r="D157" s="21"/>
      <c r="E157" s="19"/>
      <c r="G157" s="16" t="str">
        <f>IF(BarriersTable[[#This Row],[PKStartValue]]="","",IF(C157="","",INT(C157/1000)&amp;"+"&amp;TEXT(MOD(C157,1000),"000.00")))</f>
        <v/>
      </c>
      <c r="H157" s="16" t="str">
        <f>IF(BarriersTable[[#This Row],[PKEndValue]]="","",IF(D157="","",INT(D157/1000)&amp;"+"&amp;TEXT(MOD(D157,1000),"000.00")))</f>
        <v/>
      </c>
      <c r="I157" t="str">
        <f>IF(F157="","",IFERROR(_xlfn.XLOOKUP(F157,TableLibraryBarriers[Type],TableLibraryBarriers[BarrierFamily]),""))</f>
        <v/>
      </c>
      <c r="J157" t="str">
        <f>IF(F157="","",IFERROR(_xlfn.XLOOKUP(F157,TableLibraryBarriers[Type],TableLibraryBarriers[BarrierType]),""))</f>
        <v/>
      </c>
      <c r="K157" t="str">
        <f>IF(F157="","",IFERROR(_xlfn.XLOOKUP(F157,TableLibraryBarriers[Type],TableLibraryBarriers[BlockLinear]),""))</f>
        <v/>
      </c>
      <c r="L157" t="str">
        <f>IF(F157="","",IFERROR(_xlfn.XLOOKUP(F157,TableLibraryBarriers[Type],TableLibraryBarriers[BlockPost]),""))</f>
        <v/>
      </c>
      <c r="M157" t="str">
        <f>IF(F157="","",IFERROR(_xlfn.XLOOKUP(F157,TableLibraryBarriers[Type],TableLibraryBarriers[IFCEntity]),""))</f>
        <v/>
      </c>
      <c r="N157" t="str">
        <f>IF(F157="","",IFERROR(_xlfn.XLOOKUP(F157,TableLibraryBarriers[Type],TableLibraryBarriers[Material]),""))</f>
        <v/>
      </c>
      <c r="O157" t="str">
        <f>IF(F157="","",IFERROR(_xlfn.XLOOKUP(F157,TableLibraryBarriers[Type],TableLibraryBarriers[PostSpacing]),""))</f>
        <v/>
      </c>
      <c r="P157" t="str">
        <f>IF(F157="","",IFERROR(_xlfn.XLOOKUP(F157,TableLibraryBarriers[Type],TableLibraryBarriers[ModuleLength]),""))</f>
        <v/>
      </c>
      <c r="Q157" t="str">
        <f>IF(F157="","",IFERROR(_xlfn.XLOOKUP(F157,TableLibraryBarriers[Type],TableLibraryBarriers[Height]),""))</f>
        <v/>
      </c>
      <c r="R157" t="str">
        <f>IF(F157="","",IFERROR(_xlfn.XLOOKUP(F157,TableLibraryBarriers[Type],TableLibraryBarriers[Width]),""))</f>
        <v/>
      </c>
      <c r="S157" t="str">
        <f>IF(F157="","",IFERROR(_xlfn.XLOOKUP(F157,TableLibraryBarriers[Type],TableLibraryBarriers[ContainmentLevel]),""))</f>
        <v/>
      </c>
      <c r="T157" t="str">
        <f>IF(F157="","",IFERROR(_xlfn.XLOOKUP(F157,TableLibraryBarriers[Type],TableLibraryBarriers[WorkingWidth]),""))</f>
        <v/>
      </c>
      <c r="U157" t="str">
        <f>IF(F157="","",IFERROR(_xlfn.XLOOKUP(F157,TableLibraryBarriers[Type],TableLibraryBarriers[Layer]),""))</f>
        <v/>
      </c>
      <c r="V157" t="str">
        <f>IF(F157="","",IFERROR(_xlfn.XLOOKUP(F157,TableLibraryBarriers[Type],TableLibraryBarriers[TimeUnitLength(h)]),""))</f>
        <v/>
      </c>
      <c r="W157" t="str">
        <f>IF(F157="","",IFERROR(_xlfn.XLOOKUP(F157,TableLibraryBarriers[Type],TableLibraryBarriers[CostUnitLength]),""))</f>
        <v/>
      </c>
      <c r="X157" t="str">
        <f>IF(F157="","",IFERROR(_xlfn.XLOOKUP(F157,TableLibraryBarriers[Type],TableLibraryBarriers[Notes]),""))</f>
        <v/>
      </c>
      <c r="Y157" s="19"/>
      <c r="Z157" s="19"/>
    </row>
    <row r="158" spans="1:26">
      <c r="A158" t="str">
        <f t="shared" si="2"/>
        <v/>
      </c>
      <c r="C158" s="21"/>
      <c r="D158" s="21"/>
      <c r="E158" s="19"/>
      <c r="G158" s="16" t="str">
        <f>IF(BarriersTable[[#This Row],[PKStartValue]]="","",IF(C158="","",INT(C158/1000)&amp;"+"&amp;TEXT(MOD(C158,1000),"000.00")))</f>
        <v/>
      </c>
      <c r="H158" s="16" t="str">
        <f>IF(BarriersTable[[#This Row],[PKEndValue]]="","",IF(D158="","",INT(D158/1000)&amp;"+"&amp;TEXT(MOD(D158,1000),"000.00")))</f>
        <v/>
      </c>
      <c r="I158" t="str">
        <f>IF(F158="","",IFERROR(_xlfn.XLOOKUP(F158,TableLibraryBarriers[Type],TableLibraryBarriers[BarrierFamily]),""))</f>
        <v/>
      </c>
      <c r="J158" t="str">
        <f>IF(F158="","",IFERROR(_xlfn.XLOOKUP(F158,TableLibraryBarriers[Type],TableLibraryBarriers[BarrierType]),""))</f>
        <v/>
      </c>
      <c r="K158" t="str">
        <f>IF(F158="","",IFERROR(_xlfn.XLOOKUP(F158,TableLibraryBarriers[Type],TableLibraryBarriers[BlockLinear]),""))</f>
        <v/>
      </c>
      <c r="L158" t="str">
        <f>IF(F158="","",IFERROR(_xlfn.XLOOKUP(F158,TableLibraryBarriers[Type],TableLibraryBarriers[BlockPost]),""))</f>
        <v/>
      </c>
      <c r="M158" t="str">
        <f>IF(F158="","",IFERROR(_xlfn.XLOOKUP(F158,TableLibraryBarriers[Type],TableLibraryBarriers[IFCEntity]),""))</f>
        <v/>
      </c>
      <c r="N158" t="str">
        <f>IF(F158="","",IFERROR(_xlfn.XLOOKUP(F158,TableLibraryBarriers[Type],TableLibraryBarriers[Material]),""))</f>
        <v/>
      </c>
      <c r="O158" t="str">
        <f>IF(F158="","",IFERROR(_xlfn.XLOOKUP(F158,TableLibraryBarriers[Type],TableLibraryBarriers[PostSpacing]),""))</f>
        <v/>
      </c>
      <c r="P158" t="str">
        <f>IF(F158="","",IFERROR(_xlfn.XLOOKUP(F158,TableLibraryBarriers[Type],TableLibraryBarriers[ModuleLength]),""))</f>
        <v/>
      </c>
      <c r="Q158" t="str">
        <f>IF(F158="","",IFERROR(_xlfn.XLOOKUP(F158,TableLibraryBarriers[Type],TableLibraryBarriers[Height]),""))</f>
        <v/>
      </c>
      <c r="R158" t="str">
        <f>IF(F158="","",IFERROR(_xlfn.XLOOKUP(F158,TableLibraryBarriers[Type],TableLibraryBarriers[Width]),""))</f>
        <v/>
      </c>
      <c r="S158" t="str">
        <f>IF(F158="","",IFERROR(_xlfn.XLOOKUP(F158,TableLibraryBarriers[Type],TableLibraryBarriers[ContainmentLevel]),""))</f>
        <v/>
      </c>
      <c r="T158" t="str">
        <f>IF(F158="","",IFERROR(_xlfn.XLOOKUP(F158,TableLibraryBarriers[Type],TableLibraryBarriers[WorkingWidth]),""))</f>
        <v/>
      </c>
      <c r="U158" t="str">
        <f>IF(F158="","",IFERROR(_xlfn.XLOOKUP(F158,TableLibraryBarriers[Type],TableLibraryBarriers[Layer]),""))</f>
        <v/>
      </c>
      <c r="V158" t="str">
        <f>IF(F158="","",IFERROR(_xlfn.XLOOKUP(F158,TableLibraryBarriers[Type],TableLibraryBarriers[TimeUnitLength(h)]),""))</f>
        <v/>
      </c>
      <c r="W158" t="str">
        <f>IF(F158="","",IFERROR(_xlfn.XLOOKUP(F158,TableLibraryBarriers[Type],TableLibraryBarriers[CostUnitLength]),""))</f>
        <v/>
      </c>
      <c r="X158" t="str">
        <f>IF(F158="","",IFERROR(_xlfn.XLOOKUP(F158,TableLibraryBarriers[Type],TableLibraryBarriers[Notes]),""))</f>
        <v/>
      </c>
      <c r="Y158" s="19"/>
      <c r="Z158" s="19"/>
    </row>
    <row r="159" spans="1:26">
      <c r="A159" t="str">
        <f t="shared" si="2"/>
        <v/>
      </c>
      <c r="C159" s="21"/>
      <c r="D159" s="21"/>
      <c r="E159" s="19"/>
      <c r="G159" s="16" t="str">
        <f>IF(BarriersTable[[#This Row],[PKStartValue]]="","",IF(C159="","",INT(C159/1000)&amp;"+"&amp;TEXT(MOD(C159,1000),"000.00")))</f>
        <v/>
      </c>
      <c r="H159" s="16" t="str">
        <f>IF(BarriersTable[[#This Row],[PKEndValue]]="","",IF(D159="","",INT(D159/1000)&amp;"+"&amp;TEXT(MOD(D159,1000),"000.00")))</f>
        <v/>
      </c>
      <c r="I159" t="str">
        <f>IF(F159="","",IFERROR(_xlfn.XLOOKUP(F159,TableLibraryBarriers[Type],TableLibraryBarriers[BarrierFamily]),""))</f>
        <v/>
      </c>
      <c r="J159" t="str">
        <f>IF(F159="","",IFERROR(_xlfn.XLOOKUP(F159,TableLibraryBarriers[Type],TableLibraryBarriers[BarrierType]),""))</f>
        <v/>
      </c>
      <c r="K159" t="str">
        <f>IF(F159="","",IFERROR(_xlfn.XLOOKUP(F159,TableLibraryBarriers[Type],TableLibraryBarriers[BlockLinear]),""))</f>
        <v/>
      </c>
      <c r="L159" t="str">
        <f>IF(F159="","",IFERROR(_xlfn.XLOOKUP(F159,TableLibraryBarriers[Type],TableLibraryBarriers[BlockPost]),""))</f>
        <v/>
      </c>
      <c r="M159" t="str">
        <f>IF(F159="","",IFERROR(_xlfn.XLOOKUP(F159,TableLibraryBarriers[Type],TableLibraryBarriers[IFCEntity]),""))</f>
        <v/>
      </c>
      <c r="N159" t="str">
        <f>IF(F159="","",IFERROR(_xlfn.XLOOKUP(F159,TableLibraryBarriers[Type],TableLibraryBarriers[Material]),""))</f>
        <v/>
      </c>
      <c r="O159" t="str">
        <f>IF(F159="","",IFERROR(_xlfn.XLOOKUP(F159,TableLibraryBarriers[Type],TableLibraryBarriers[PostSpacing]),""))</f>
        <v/>
      </c>
      <c r="P159" t="str">
        <f>IF(F159="","",IFERROR(_xlfn.XLOOKUP(F159,TableLibraryBarriers[Type],TableLibraryBarriers[ModuleLength]),""))</f>
        <v/>
      </c>
      <c r="Q159" t="str">
        <f>IF(F159="","",IFERROR(_xlfn.XLOOKUP(F159,TableLibraryBarriers[Type],TableLibraryBarriers[Height]),""))</f>
        <v/>
      </c>
      <c r="R159" t="str">
        <f>IF(F159="","",IFERROR(_xlfn.XLOOKUP(F159,TableLibraryBarriers[Type],TableLibraryBarriers[Width]),""))</f>
        <v/>
      </c>
      <c r="S159" t="str">
        <f>IF(F159="","",IFERROR(_xlfn.XLOOKUP(F159,TableLibraryBarriers[Type],TableLibraryBarriers[ContainmentLevel]),""))</f>
        <v/>
      </c>
      <c r="T159" t="str">
        <f>IF(F159="","",IFERROR(_xlfn.XLOOKUP(F159,TableLibraryBarriers[Type],TableLibraryBarriers[WorkingWidth]),""))</f>
        <v/>
      </c>
      <c r="U159" t="str">
        <f>IF(F159="","",IFERROR(_xlfn.XLOOKUP(F159,TableLibraryBarriers[Type],TableLibraryBarriers[Layer]),""))</f>
        <v/>
      </c>
      <c r="V159" t="str">
        <f>IF(F159="","",IFERROR(_xlfn.XLOOKUP(F159,TableLibraryBarriers[Type],TableLibraryBarriers[TimeUnitLength(h)]),""))</f>
        <v/>
      </c>
      <c r="W159" t="str">
        <f>IF(F159="","",IFERROR(_xlfn.XLOOKUP(F159,TableLibraryBarriers[Type],TableLibraryBarriers[CostUnitLength]),""))</f>
        <v/>
      </c>
      <c r="X159" t="str">
        <f>IF(F159="","",IFERROR(_xlfn.XLOOKUP(F159,TableLibraryBarriers[Type],TableLibraryBarriers[Notes]),""))</f>
        <v/>
      </c>
      <c r="Y159" s="19"/>
      <c r="Z159" s="19"/>
    </row>
    <row r="160" spans="1:26">
      <c r="A160" t="str">
        <f t="shared" si="2"/>
        <v/>
      </c>
      <c r="C160" s="21"/>
      <c r="D160" s="21"/>
      <c r="E160" s="19"/>
      <c r="G160" s="16" t="str">
        <f>IF(BarriersTable[[#This Row],[PKStartValue]]="","",IF(C160="","",INT(C160/1000)&amp;"+"&amp;TEXT(MOD(C160,1000),"000.00")))</f>
        <v/>
      </c>
      <c r="H160" s="16" t="str">
        <f>IF(BarriersTable[[#This Row],[PKEndValue]]="","",IF(D160="","",INT(D160/1000)&amp;"+"&amp;TEXT(MOD(D160,1000),"000.00")))</f>
        <v/>
      </c>
      <c r="I160" t="str">
        <f>IF(F160="","",IFERROR(_xlfn.XLOOKUP(F160,TableLibraryBarriers[Type],TableLibraryBarriers[BarrierFamily]),""))</f>
        <v/>
      </c>
      <c r="J160" t="str">
        <f>IF(F160="","",IFERROR(_xlfn.XLOOKUP(F160,TableLibraryBarriers[Type],TableLibraryBarriers[BarrierType]),""))</f>
        <v/>
      </c>
      <c r="K160" t="str">
        <f>IF(F160="","",IFERROR(_xlfn.XLOOKUP(F160,TableLibraryBarriers[Type],TableLibraryBarriers[BlockLinear]),""))</f>
        <v/>
      </c>
      <c r="L160" t="str">
        <f>IF(F160="","",IFERROR(_xlfn.XLOOKUP(F160,TableLibraryBarriers[Type],TableLibraryBarriers[BlockPost]),""))</f>
        <v/>
      </c>
      <c r="M160" t="str">
        <f>IF(F160="","",IFERROR(_xlfn.XLOOKUP(F160,TableLibraryBarriers[Type],TableLibraryBarriers[IFCEntity]),""))</f>
        <v/>
      </c>
      <c r="N160" t="str">
        <f>IF(F160="","",IFERROR(_xlfn.XLOOKUP(F160,TableLibraryBarriers[Type],TableLibraryBarriers[Material]),""))</f>
        <v/>
      </c>
      <c r="O160" t="str">
        <f>IF(F160="","",IFERROR(_xlfn.XLOOKUP(F160,TableLibraryBarriers[Type],TableLibraryBarriers[PostSpacing]),""))</f>
        <v/>
      </c>
      <c r="P160" t="str">
        <f>IF(F160="","",IFERROR(_xlfn.XLOOKUP(F160,TableLibraryBarriers[Type],TableLibraryBarriers[ModuleLength]),""))</f>
        <v/>
      </c>
      <c r="Q160" t="str">
        <f>IF(F160="","",IFERROR(_xlfn.XLOOKUP(F160,TableLibraryBarriers[Type],TableLibraryBarriers[Height]),""))</f>
        <v/>
      </c>
      <c r="R160" t="str">
        <f>IF(F160="","",IFERROR(_xlfn.XLOOKUP(F160,TableLibraryBarriers[Type],TableLibraryBarriers[Width]),""))</f>
        <v/>
      </c>
      <c r="S160" t="str">
        <f>IF(F160="","",IFERROR(_xlfn.XLOOKUP(F160,TableLibraryBarriers[Type],TableLibraryBarriers[ContainmentLevel]),""))</f>
        <v/>
      </c>
      <c r="T160" t="str">
        <f>IF(F160="","",IFERROR(_xlfn.XLOOKUP(F160,TableLibraryBarriers[Type],TableLibraryBarriers[WorkingWidth]),""))</f>
        <v/>
      </c>
      <c r="U160" t="str">
        <f>IF(F160="","",IFERROR(_xlfn.XLOOKUP(F160,TableLibraryBarriers[Type],TableLibraryBarriers[Layer]),""))</f>
        <v/>
      </c>
      <c r="V160" t="str">
        <f>IF(F160="","",IFERROR(_xlfn.XLOOKUP(F160,TableLibraryBarriers[Type],TableLibraryBarriers[TimeUnitLength(h)]),""))</f>
        <v/>
      </c>
      <c r="W160" t="str">
        <f>IF(F160="","",IFERROR(_xlfn.XLOOKUP(F160,TableLibraryBarriers[Type],TableLibraryBarriers[CostUnitLength]),""))</f>
        <v/>
      </c>
      <c r="X160" t="str">
        <f>IF(F160="","",IFERROR(_xlfn.XLOOKUP(F160,TableLibraryBarriers[Type],TableLibraryBarriers[Notes]),""))</f>
        <v/>
      </c>
      <c r="Y160" s="19"/>
      <c r="Z160" s="19"/>
    </row>
    <row r="161" spans="1:26">
      <c r="A161" t="str">
        <f t="shared" si="2"/>
        <v/>
      </c>
      <c r="C161" s="21"/>
      <c r="D161" s="21"/>
      <c r="E161" s="19"/>
      <c r="G161" s="16" t="str">
        <f>IF(BarriersTable[[#This Row],[PKStartValue]]="","",IF(C161="","",INT(C161/1000)&amp;"+"&amp;TEXT(MOD(C161,1000),"000.00")))</f>
        <v/>
      </c>
      <c r="H161" s="16" t="str">
        <f>IF(BarriersTable[[#This Row],[PKEndValue]]="","",IF(D161="","",INT(D161/1000)&amp;"+"&amp;TEXT(MOD(D161,1000),"000.00")))</f>
        <v/>
      </c>
      <c r="I161" t="str">
        <f>IF(F161="","",IFERROR(_xlfn.XLOOKUP(F161,TableLibraryBarriers[Type],TableLibraryBarriers[BarrierFamily]),""))</f>
        <v/>
      </c>
      <c r="J161" t="str">
        <f>IF(F161="","",IFERROR(_xlfn.XLOOKUP(F161,TableLibraryBarriers[Type],TableLibraryBarriers[BarrierType]),""))</f>
        <v/>
      </c>
      <c r="K161" t="str">
        <f>IF(F161="","",IFERROR(_xlfn.XLOOKUP(F161,TableLibraryBarriers[Type],TableLibraryBarriers[BlockLinear]),""))</f>
        <v/>
      </c>
      <c r="L161" t="str">
        <f>IF(F161="","",IFERROR(_xlfn.XLOOKUP(F161,TableLibraryBarriers[Type],TableLibraryBarriers[BlockPost]),""))</f>
        <v/>
      </c>
      <c r="M161" t="str">
        <f>IF(F161="","",IFERROR(_xlfn.XLOOKUP(F161,TableLibraryBarriers[Type],TableLibraryBarriers[IFCEntity]),""))</f>
        <v/>
      </c>
      <c r="N161" t="str">
        <f>IF(F161="","",IFERROR(_xlfn.XLOOKUP(F161,TableLibraryBarriers[Type],TableLibraryBarriers[Material]),""))</f>
        <v/>
      </c>
      <c r="O161" t="str">
        <f>IF(F161="","",IFERROR(_xlfn.XLOOKUP(F161,TableLibraryBarriers[Type],TableLibraryBarriers[PostSpacing]),""))</f>
        <v/>
      </c>
      <c r="P161" t="str">
        <f>IF(F161="","",IFERROR(_xlfn.XLOOKUP(F161,TableLibraryBarriers[Type],TableLibraryBarriers[ModuleLength]),""))</f>
        <v/>
      </c>
      <c r="Q161" t="str">
        <f>IF(F161="","",IFERROR(_xlfn.XLOOKUP(F161,TableLibraryBarriers[Type],TableLibraryBarriers[Height]),""))</f>
        <v/>
      </c>
      <c r="R161" t="str">
        <f>IF(F161="","",IFERROR(_xlfn.XLOOKUP(F161,TableLibraryBarriers[Type],TableLibraryBarriers[Width]),""))</f>
        <v/>
      </c>
      <c r="S161" t="str">
        <f>IF(F161="","",IFERROR(_xlfn.XLOOKUP(F161,TableLibraryBarriers[Type],TableLibraryBarriers[ContainmentLevel]),""))</f>
        <v/>
      </c>
      <c r="T161" t="str">
        <f>IF(F161="","",IFERROR(_xlfn.XLOOKUP(F161,TableLibraryBarriers[Type],TableLibraryBarriers[WorkingWidth]),""))</f>
        <v/>
      </c>
      <c r="U161" t="str">
        <f>IF(F161="","",IFERROR(_xlfn.XLOOKUP(F161,TableLibraryBarriers[Type],TableLibraryBarriers[Layer]),""))</f>
        <v/>
      </c>
      <c r="V161" t="str">
        <f>IF(F161="","",IFERROR(_xlfn.XLOOKUP(F161,TableLibraryBarriers[Type],TableLibraryBarriers[TimeUnitLength(h)]),""))</f>
        <v/>
      </c>
      <c r="W161" t="str">
        <f>IF(F161="","",IFERROR(_xlfn.XLOOKUP(F161,TableLibraryBarriers[Type],TableLibraryBarriers[CostUnitLength]),""))</f>
        <v/>
      </c>
      <c r="X161" t="str">
        <f>IF(F161="","",IFERROR(_xlfn.XLOOKUP(F161,TableLibraryBarriers[Type],TableLibraryBarriers[Notes]),""))</f>
        <v/>
      </c>
      <c r="Y161" s="19"/>
      <c r="Z161" s="19"/>
    </row>
    <row r="162" spans="1:26">
      <c r="A162" t="str">
        <f t="shared" si="2"/>
        <v/>
      </c>
      <c r="C162" s="21"/>
      <c r="D162" s="21"/>
      <c r="E162" s="19"/>
      <c r="G162" s="16" t="str">
        <f>IF(BarriersTable[[#This Row],[PKStartValue]]="","",IF(C162="","",INT(C162/1000)&amp;"+"&amp;TEXT(MOD(C162,1000),"000.00")))</f>
        <v/>
      </c>
      <c r="H162" s="16" t="str">
        <f>IF(BarriersTable[[#This Row],[PKEndValue]]="","",IF(D162="","",INT(D162/1000)&amp;"+"&amp;TEXT(MOD(D162,1000),"000.00")))</f>
        <v/>
      </c>
      <c r="I162" t="str">
        <f>IF(F162="","",IFERROR(_xlfn.XLOOKUP(F162,TableLibraryBarriers[Type],TableLibraryBarriers[BarrierFamily]),""))</f>
        <v/>
      </c>
      <c r="J162" t="str">
        <f>IF(F162="","",IFERROR(_xlfn.XLOOKUP(F162,TableLibraryBarriers[Type],TableLibraryBarriers[BarrierType]),""))</f>
        <v/>
      </c>
      <c r="K162" t="str">
        <f>IF(F162="","",IFERROR(_xlfn.XLOOKUP(F162,TableLibraryBarriers[Type],TableLibraryBarriers[BlockLinear]),""))</f>
        <v/>
      </c>
      <c r="L162" t="str">
        <f>IF(F162="","",IFERROR(_xlfn.XLOOKUP(F162,TableLibraryBarriers[Type],TableLibraryBarriers[BlockPost]),""))</f>
        <v/>
      </c>
      <c r="M162" t="str">
        <f>IF(F162="","",IFERROR(_xlfn.XLOOKUP(F162,TableLibraryBarriers[Type],TableLibraryBarriers[IFCEntity]),""))</f>
        <v/>
      </c>
      <c r="N162" t="str">
        <f>IF(F162="","",IFERROR(_xlfn.XLOOKUP(F162,TableLibraryBarriers[Type],TableLibraryBarriers[Material]),""))</f>
        <v/>
      </c>
      <c r="O162" t="str">
        <f>IF(F162="","",IFERROR(_xlfn.XLOOKUP(F162,TableLibraryBarriers[Type],TableLibraryBarriers[PostSpacing]),""))</f>
        <v/>
      </c>
      <c r="P162" t="str">
        <f>IF(F162="","",IFERROR(_xlfn.XLOOKUP(F162,TableLibraryBarriers[Type],TableLibraryBarriers[ModuleLength]),""))</f>
        <v/>
      </c>
      <c r="Q162" t="str">
        <f>IF(F162="","",IFERROR(_xlfn.XLOOKUP(F162,TableLibraryBarriers[Type],TableLibraryBarriers[Height]),""))</f>
        <v/>
      </c>
      <c r="R162" t="str">
        <f>IF(F162="","",IFERROR(_xlfn.XLOOKUP(F162,TableLibraryBarriers[Type],TableLibraryBarriers[Width]),""))</f>
        <v/>
      </c>
      <c r="S162" t="str">
        <f>IF(F162="","",IFERROR(_xlfn.XLOOKUP(F162,TableLibraryBarriers[Type],TableLibraryBarriers[ContainmentLevel]),""))</f>
        <v/>
      </c>
      <c r="T162" t="str">
        <f>IF(F162="","",IFERROR(_xlfn.XLOOKUP(F162,TableLibraryBarriers[Type],TableLibraryBarriers[WorkingWidth]),""))</f>
        <v/>
      </c>
      <c r="U162" t="str">
        <f>IF(F162="","",IFERROR(_xlfn.XLOOKUP(F162,TableLibraryBarriers[Type],TableLibraryBarriers[Layer]),""))</f>
        <v/>
      </c>
      <c r="V162" t="str">
        <f>IF(F162="","",IFERROR(_xlfn.XLOOKUP(F162,TableLibraryBarriers[Type],TableLibraryBarriers[TimeUnitLength(h)]),""))</f>
        <v/>
      </c>
      <c r="W162" t="str">
        <f>IF(F162="","",IFERROR(_xlfn.XLOOKUP(F162,TableLibraryBarriers[Type],TableLibraryBarriers[CostUnitLength]),""))</f>
        <v/>
      </c>
      <c r="X162" t="str">
        <f>IF(F162="","",IFERROR(_xlfn.XLOOKUP(F162,TableLibraryBarriers[Type],TableLibraryBarriers[Notes]),""))</f>
        <v/>
      </c>
      <c r="Y162" s="19"/>
      <c r="Z162" s="19"/>
    </row>
    <row r="163" spans="1:26">
      <c r="A163" t="str">
        <f t="shared" si="2"/>
        <v/>
      </c>
      <c r="C163" s="21"/>
      <c r="D163" s="21"/>
      <c r="E163" s="19"/>
      <c r="G163" s="16" t="str">
        <f>IF(BarriersTable[[#This Row],[PKStartValue]]="","",IF(C163="","",INT(C163/1000)&amp;"+"&amp;TEXT(MOD(C163,1000),"000.00")))</f>
        <v/>
      </c>
      <c r="H163" s="16" t="str">
        <f>IF(BarriersTable[[#This Row],[PKEndValue]]="","",IF(D163="","",INT(D163/1000)&amp;"+"&amp;TEXT(MOD(D163,1000),"000.00")))</f>
        <v/>
      </c>
      <c r="I163" t="str">
        <f>IF(F163="","",IFERROR(_xlfn.XLOOKUP(F163,TableLibraryBarriers[Type],TableLibraryBarriers[BarrierFamily]),""))</f>
        <v/>
      </c>
      <c r="J163" t="str">
        <f>IF(F163="","",IFERROR(_xlfn.XLOOKUP(F163,TableLibraryBarriers[Type],TableLibraryBarriers[BarrierType]),""))</f>
        <v/>
      </c>
      <c r="K163" t="str">
        <f>IF(F163="","",IFERROR(_xlfn.XLOOKUP(F163,TableLibraryBarriers[Type],TableLibraryBarriers[BlockLinear]),""))</f>
        <v/>
      </c>
      <c r="L163" t="str">
        <f>IF(F163="","",IFERROR(_xlfn.XLOOKUP(F163,TableLibraryBarriers[Type],TableLibraryBarriers[BlockPost]),""))</f>
        <v/>
      </c>
      <c r="M163" t="str">
        <f>IF(F163="","",IFERROR(_xlfn.XLOOKUP(F163,TableLibraryBarriers[Type],TableLibraryBarriers[IFCEntity]),""))</f>
        <v/>
      </c>
      <c r="N163" t="str">
        <f>IF(F163="","",IFERROR(_xlfn.XLOOKUP(F163,TableLibraryBarriers[Type],TableLibraryBarriers[Material]),""))</f>
        <v/>
      </c>
      <c r="O163" t="str">
        <f>IF(F163="","",IFERROR(_xlfn.XLOOKUP(F163,TableLibraryBarriers[Type],TableLibraryBarriers[PostSpacing]),""))</f>
        <v/>
      </c>
      <c r="P163" t="str">
        <f>IF(F163="","",IFERROR(_xlfn.XLOOKUP(F163,TableLibraryBarriers[Type],TableLibraryBarriers[ModuleLength]),""))</f>
        <v/>
      </c>
      <c r="Q163" t="str">
        <f>IF(F163="","",IFERROR(_xlfn.XLOOKUP(F163,TableLibraryBarriers[Type],TableLibraryBarriers[Height]),""))</f>
        <v/>
      </c>
      <c r="R163" t="str">
        <f>IF(F163="","",IFERROR(_xlfn.XLOOKUP(F163,TableLibraryBarriers[Type],TableLibraryBarriers[Width]),""))</f>
        <v/>
      </c>
      <c r="S163" t="str">
        <f>IF(F163="","",IFERROR(_xlfn.XLOOKUP(F163,TableLibraryBarriers[Type],TableLibraryBarriers[ContainmentLevel]),""))</f>
        <v/>
      </c>
      <c r="T163" t="str">
        <f>IF(F163="","",IFERROR(_xlfn.XLOOKUP(F163,TableLibraryBarriers[Type],TableLibraryBarriers[WorkingWidth]),""))</f>
        <v/>
      </c>
      <c r="U163" t="str">
        <f>IF(F163="","",IFERROR(_xlfn.XLOOKUP(F163,TableLibraryBarriers[Type],TableLibraryBarriers[Layer]),""))</f>
        <v/>
      </c>
      <c r="V163" t="str">
        <f>IF(F163="","",IFERROR(_xlfn.XLOOKUP(F163,TableLibraryBarriers[Type],TableLibraryBarriers[TimeUnitLength(h)]),""))</f>
        <v/>
      </c>
      <c r="W163" t="str">
        <f>IF(F163="","",IFERROR(_xlfn.XLOOKUP(F163,TableLibraryBarriers[Type],TableLibraryBarriers[CostUnitLength]),""))</f>
        <v/>
      </c>
      <c r="X163" t="str">
        <f>IF(F163="","",IFERROR(_xlfn.XLOOKUP(F163,TableLibraryBarriers[Type],TableLibraryBarriers[Notes]),""))</f>
        <v/>
      </c>
      <c r="Y163" s="19"/>
      <c r="Z163" s="19"/>
    </row>
    <row r="164" spans="1:26">
      <c r="A164" t="str">
        <f t="shared" si="2"/>
        <v/>
      </c>
      <c r="C164" s="21"/>
      <c r="D164" s="21"/>
      <c r="E164" s="19"/>
      <c r="G164" s="16" t="str">
        <f>IF(BarriersTable[[#This Row],[PKStartValue]]="","",IF(C164="","",INT(C164/1000)&amp;"+"&amp;TEXT(MOD(C164,1000),"000.00")))</f>
        <v/>
      </c>
      <c r="H164" s="16" t="str">
        <f>IF(BarriersTable[[#This Row],[PKEndValue]]="","",IF(D164="","",INT(D164/1000)&amp;"+"&amp;TEXT(MOD(D164,1000),"000.00")))</f>
        <v/>
      </c>
      <c r="I164" t="str">
        <f>IF(F164="","",IFERROR(_xlfn.XLOOKUP(F164,TableLibraryBarriers[Type],TableLibraryBarriers[BarrierFamily]),""))</f>
        <v/>
      </c>
      <c r="J164" t="str">
        <f>IF(F164="","",IFERROR(_xlfn.XLOOKUP(F164,TableLibraryBarriers[Type],TableLibraryBarriers[BarrierType]),""))</f>
        <v/>
      </c>
      <c r="K164" t="str">
        <f>IF(F164="","",IFERROR(_xlfn.XLOOKUP(F164,TableLibraryBarriers[Type],TableLibraryBarriers[BlockLinear]),""))</f>
        <v/>
      </c>
      <c r="L164" t="str">
        <f>IF(F164="","",IFERROR(_xlfn.XLOOKUP(F164,TableLibraryBarriers[Type],TableLibraryBarriers[BlockPost]),""))</f>
        <v/>
      </c>
      <c r="M164" t="str">
        <f>IF(F164="","",IFERROR(_xlfn.XLOOKUP(F164,TableLibraryBarriers[Type],TableLibraryBarriers[IFCEntity]),""))</f>
        <v/>
      </c>
      <c r="N164" t="str">
        <f>IF(F164="","",IFERROR(_xlfn.XLOOKUP(F164,TableLibraryBarriers[Type],TableLibraryBarriers[Material]),""))</f>
        <v/>
      </c>
      <c r="O164" t="str">
        <f>IF(F164="","",IFERROR(_xlfn.XLOOKUP(F164,TableLibraryBarriers[Type],TableLibraryBarriers[PostSpacing]),""))</f>
        <v/>
      </c>
      <c r="P164" t="str">
        <f>IF(F164="","",IFERROR(_xlfn.XLOOKUP(F164,TableLibraryBarriers[Type],TableLibraryBarriers[ModuleLength]),""))</f>
        <v/>
      </c>
      <c r="Q164" t="str">
        <f>IF(F164="","",IFERROR(_xlfn.XLOOKUP(F164,TableLibraryBarriers[Type],TableLibraryBarriers[Height]),""))</f>
        <v/>
      </c>
      <c r="R164" t="str">
        <f>IF(F164="","",IFERROR(_xlfn.XLOOKUP(F164,TableLibraryBarriers[Type],TableLibraryBarriers[Width]),""))</f>
        <v/>
      </c>
      <c r="S164" t="str">
        <f>IF(F164="","",IFERROR(_xlfn.XLOOKUP(F164,TableLibraryBarriers[Type],TableLibraryBarriers[ContainmentLevel]),""))</f>
        <v/>
      </c>
      <c r="T164" t="str">
        <f>IF(F164="","",IFERROR(_xlfn.XLOOKUP(F164,TableLibraryBarriers[Type],TableLibraryBarriers[WorkingWidth]),""))</f>
        <v/>
      </c>
      <c r="U164" t="str">
        <f>IF(F164="","",IFERROR(_xlfn.XLOOKUP(F164,TableLibraryBarriers[Type],TableLibraryBarriers[Layer]),""))</f>
        <v/>
      </c>
      <c r="V164" t="str">
        <f>IF(F164="","",IFERROR(_xlfn.XLOOKUP(F164,TableLibraryBarriers[Type],TableLibraryBarriers[TimeUnitLength(h)]),""))</f>
        <v/>
      </c>
      <c r="W164" t="str">
        <f>IF(F164="","",IFERROR(_xlfn.XLOOKUP(F164,TableLibraryBarriers[Type],TableLibraryBarriers[CostUnitLength]),""))</f>
        <v/>
      </c>
      <c r="X164" t="str">
        <f>IF(F164="","",IFERROR(_xlfn.XLOOKUP(F164,TableLibraryBarriers[Type],TableLibraryBarriers[Notes]),""))</f>
        <v/>
      </c>
      <c r="Y164" s="19"/>
      <c r="Z164" s="19"/>
    </row>
    <row r="165" spans="1:26">
      <c r="A165" t="str">
        <f t="shared" si="2"/>
        <v/>
      </c>
      <c r="C165" s="21"/>
      <c r="D165" s="21"/>
      <c r="E165" s="19"/>
      <c r="G165" s="16" t="str">
        <f>IF(BarriersTable[[#This Row],[PKStartValue]]="","",IF(C165="","",INT(C165/1000)&amp;"+"&amp;TEXT(MOD(C165,1000),"000.00")))</f>
        <v/>
      </c>
      <c r="H165" s="16" t="str">
        <f>IF(BarriersTable[[#This Row],[PKEndValue]]="","",IF(D165="","",INT(D165/1000)&amp;"+"&amp;TEXT(MOD(D165,1000),"000.00")))</f>
        <v/>
      </c>
      <c r="I165" t="str">
        <f>IF(F165="","",IFERROR(_xlfn.XLOOKUP(F165,TableLibraryBarriers[Type],TableLibraryBarriers[BarrierFamily]),""))</f>
        <v/>
      </c>
      <c r="J165" t="str">
        <f>IF(F165="","",IFERROR(_xlfn.XLOOKUP(F165,TableLibraryBarriers[Type],TableLibraryBarriers[BarrierType]),""))</f>
        <v/>
      </c>
      <c r="K165" t="str">
        <f>IF(F165="","",IFERROR(_xlfn.XLOOKUP(F165,TableLibraryBarriers[Type],TableLibraryBarriers[BlockLinear]),""))</f>
        <v/>
      </c>
      <c r="L165" t="str">
        <f>IF(F165="","",IFERROR(_xlfn.XLOOKUP(F165,TableLibraryBarriers[Type],TableLibraryBarriers[BlockPost]),""))</f>
        <v/>
      </c>
      <c r="M165" t="str">
        <f>IF(F165="","",IFERROR(_xlfn.XLOOKUP(F165,TableLibraryBarriers[Type],TableLibraryBarriers[IFCEntity]),""))</f>
        <v/>
      </c>
      <c r="N165" t="str">
        <f>IF(F165="","",IFERROR(_xlfn.XLOOKUP(F165,TableLibraryBarriers[Type],TableLibraryBarriers[Material]),""))</f>
        <v/>
      </c>
      <c r="O165" t="str">
        <f>IF(F165="","",IFERROR(_xlfn.XLOOKUP(F165,TableLibraryBarriers[Type],TableLibraryBarriers[PostSpacing]),""))</f>
        <v/>
      </c>
      <c r="P165" t="str">
        <f>IF(F165="","",IFERROR(_xlfn.XLOOKUP(F165,TableLibraryBarriers[Type],TableLibraryBarriers[ModuleLength]),""))</f>
        <v/>
      </c>
      <c r="Q165" t="str">
        <f>IF(F165="","",IFERROR(_xlfn.XLOOKUP(F165,TableLibraryBarriers[Type],TableLibraryBarriers[Height]),""))</f>
        <v/>
      </c>
      <c r="R165" t="str">
        <f>IF(F165="","",IFERROR(_xlfn.XLOOKUP(F165,TableLibraryBarriers[Type],TableLibraryBarriers[Width]),""))</f>
        <v/>
      </c>
      <c r="S165" t="str">
        <f>IF(F165="","",IFERROR(_xlfn.XLOOKUP(F165,TableLibraryBarriers[Type],TableLibraryBarriers[ContainmentLevel]),""))</f>
        <v/>
      </c>
      <c r="T165" t="str">
        <f>IF(F165="","",IFERROR(_xlfn.XLOOKUP(F165,TableLibraryBarriers[Type],TableLibraryBarriers[WorkingWidth]),""))</f>
        <v/>
      </c>
      <c r="U165" t="str">
        <f>IF(F165="","",IFERROR(_xlfn.XLOOKUP(F165,TableLibraryBarriers[Type],TableLibraryBarriers[Layer]),""))</f>
        <v/>
      </c>
      <c r="V165" t="str">
        <f>IF(F165="","",IFERROR(_xlfn.XLOOKUP(F165,TableLibraryBarriers[Type],TableLibraryBarriers[TimeUnitLength(h)]),""))</f>
        <v/>
      </c>
      <c r="W165" t="str">
        <f>IF(F165="","",IFERROR(_xlfn.XLOOKUP(F165,TableLibraryBarriers[Type],TableLibraryBarriers[CostUnitLength]),""))</f>
        <v/>
      </c>
      <c r="X165" t="str">
        <f>IF(F165="","",IFERROR(_xlfn.XLOOKUP(F165,TableLibraryBarriers[Type],TableLibraryBarriers[Notes]),""))</f>
        <v/>
      </c>
      <c r="Y165" s="19"/>
      <c r="Z165" s="19"/>
    </row>
    <row r="166" spans="1:26">
      <c r="A166" t="str">
        <f t="shared" si="2"/>
        <v/>
      </c>
      <c r="C166" s="21"/>
      <c r="D166" s="21"/>
      <c r="E166" s="19"/>
      <c r="G166" s="16" t="str">
        <f>IF(BarriersTable[[#This Row],[PKStartValue]]="","",IF(C166="","",INT(C166/1000)&amp;"+"&amp;TEXT(MOD(C166,1000),"000.00")))</f>
        <v/>
      </c>
      <c r="H166" s="16" t="str">
        <f>IF(BarriersTable[[#This Row],[PKEndValue]]="","",IF(D166="","",INT(D166/1000)&amp;"+"&amp;TEXT(MOD(D166,1000),"000.00")))</f>
        <v/>
      </c>
      <c r="I166" t="str">
        <f>IF(F166="","",IFERROR(_xlfn.XLOOKUP(F166,TableLibraryBarriers[Type],TableLibraryBarriers[BarrierFamily]),""))</f>
        <v/>
      </c>
      <c r="J166" t="str">
        <f>IF(F166="","",IFERROR(_xlfn.XLOOKUP(F166,TableLibraryBarriers[Type],TableLibraryBarriers[BarrierType]),""))</f>
        <v/>
      </c>
      <c r="K166" t="str">
        <f>IF(F166="","",IFERROR(_xlfn.XLOOKUP(F166,TableLibraryBarriers[Type],TableLibraryBarriers[BlockLinear]),""))</f>
        <v/>
      </c>
      <c r="L166" t="str">
        <f>IF(F166="","",IFERROR(_xlfn.XLOOKUP(F166,TableLibraryBarriers[Type],TableLibraryBarriers[BlockPost]),""))</f>
        <v/>
      </c>
      <c r="M166" t="str">
        <f>IF(F166="","",IFERROR(_xlfn.XLOOKUP(F166,TableLibraryBarriers[Type],TableLibraryBarriers[IFCEntity]),""))</f>
        <v/>
      </c>
      <c r="N166" t="str">
        <f>IF(F166="","",IFERROR(_xlfn.XLOOKUP(F166,TableLibraryBarriers[Type],TableLibraryBarriers[Material]),""))</f>
        <v/>
      </c>
      <c r="O166" t="str">
        <f>IF(F166="","",IFERROR(_xlfn.XLOOKUP(F166,TableLibraryBarriers[Type],TableLibraryBarriers[PostSpacing]),""))</f>
        <v/>
      </c>
      <c r="P166" t="str">
        <f>IF(F166="","",IFERROR(_xlfn.XLOOKUP(F166,TableLibraryBarriers[Type],TableLibraryBarriers[ModuleLength]),""))</f>
        <v/>
      </c>
      <c r="Q166" t="str">
        <f>IF(F166="","",IFERROR(_xlfn.XLOOKUP(F166,TableLibraryBarriers[Type],TableLibraryBarriers[Height]),""))</f>
        <v/>
      </c>
      <c r="R166" t="str">
        <f>IF(F166="","",IFERROR(_xlfn.XLOOKUP(F166,TableLibraryBarriers[Type],TableLibraryBarriers[Width]),""))</f>
        <v/>
      </c>
      <c r="S166" t="str">
        <f>IF(F166="","",IFERROR(_xlfn.XLOOKUP(F166,TableLibraryBarriers[Type],TableLibraryBarriers[ContainmentLevel]),""))</f>
        <v/>
      </c>
      <c r="T166" t="str">
        <f>IF(F166="","",IFERROR(_xlfn.XLOOKUP(F166,TableLibraryBarriers[Type],TableLibraryBarriers[WorkingWidth]),""))</f>
        <v/>
      </c>
      <c r="U166" t="str">
        <f>IF(F166="","",IFERROR(_xlfn.XLOOKUP(F166,TableLibraryBarriers[Type],TableLibraryBarriers[Layer]),""))</f>
        <v/>
      </c>
      <c r="V166" t="str">
        <f>IF(F166="","",IFERROR(_xlfn.XLOOKUP(F166,TableLibraryBarriers[Type],TableLibraryBarriers[TimeUnitLength(h)]),""))</f>
        <v/>
      </c>
      <c r="W166" t="str">
        <f>IF(F166="","",IFERROR(_xlfn.XLOOKUP(F166,TableLibraryBarriers[Type],TableLibraryBarriers[CostUnitLength]),""))</f>
        <v/>
      </c>
      <c r="X166" t="str">
        <f>IF(F166="","",IFERROR(_xlfn.XLOOKUP(F166,TableLibraryBarriers[Type],TableLibraryBarriers[Notes]),""))</f>
        <v/>
      </c>
      <c r="Y166" s="19"/>
      <c r="Z166" s="19"/>
    </row>
    <row r="167" spans="1:26">
      <c r="A167" t="str">
        <f t="shared" si="2"/>
        <v/>
      </c>
      <c r="C167" s="21"/>
      <c r="D167" s="21"/>
      <c r="E167" s="19"/>
      <c r="G167" s="16" t="str">
        <f>IF(BarriersTable[[#This Row],[PKStartValue]]="","",IF(C167="","",INT(C167/1000)&amp;"+"&amp;TEXT(MOD(C167,1000),"000.00")))</f>
        <v/>
      </c>
      <c r="H167" s="16" t="str">
        <f>IF(BarriersTable[[#This Row],[PKEndValue]]="","",IF(D167="","",INT(D167/1000)&amp;"+"&amp;TEXT(MOD(D167,1000),"000.00")))</f>
        <v/>
      </c>
      <c r="I167" t="str">
        <f>IF(F167="","",IFERROR(_xlfn.XLOOKUP(F167,TableLibraryBarriers[Type],TableLibraryBarriers[BarrierFamily]),""))</f>
        <v/>
      </c>
      <c r="J167" t="str">
        <f>IF(F167="","",IFERROR(_xlfn.XLOOKUP(F167,TableLibraryBarriers[Type],TableLibraryBarriers[BarrierType]),""))</f>
        <v/>
      </c>
      <c r="K167" t="str">
        <f>IF(F167="","",IFERROR(_xlfn.XLOOKUP(F167,TableLibraryBarriers[Type],TableLibraryBarriers[BlockLinear]),""))</f>
        <v/>
      </c>
      <c r="L167" t="str">
        <f>IF(F167="","",IFERROR(_xlfn.XLOOKUP(F167,TableLibraryBarriers[Type],TableLibraryBarriers[BlockPost]),""))</f>
        <v/>
      </c>
      <c r="M167" t="str">
        <f>IF(F167="","",IFERROR(_xlfn.XLOOKUP(F167,TableLibraryBarriers[Type],TableLibraryBarriers[IFCEntity]),""))</f>
        <v/>
      </c>
      <c r="N167" t="str">
        <f>IF(F167="","",IFERROR(_xlfn.XLOOKUP(F167,TableLibraryBarriers[Type],TableLibraryBarriers[Material]),""))</f>
        <v/>
      </c>
      <c r="O167" t="str">
        <f>IF(F167="","",IFERROR(_xlfn.XLOOKUP(F167,TableLibraryBarriers[Type],TableLibraryBarriers[PostSpacing]),""))</f>
        <v/>
      </c>
      <c r="P167" t="str">
        <f>IF(F167="","",IFERROR(_xlfn.XLOOKUP(F167,TableLibraryBarriers[Type],TableLibraryBarriers[ModuleLength]),""))</f>
        <v/>
      </c>
      <c r="Q167" t="str">
        <f>IF(F167="","",IFERROR(_xlfn.XLOOKUP(F167,TableLibraryBarriers[Type],TableLibraryBarriers[Height]),""))</f>
        <v/>
      </c>
      <c r="R167" t="str">
        <f>IF(F167="","",IFERROR(_xlfn.XLOOKUP(F167,TableLibraryBarriers[Type],TableLibraryBarriers[Width]),""))</f>
        <v/>
      </c>
      <c r="S167" t="str">
        <f>IF(F167="","",IFERROR(_xlfn.XLOOKUP(F167,TableLibraryBarriers[Type],TableLibraryBarriers[ContainmentLevel]),""))</f>
        <v/>
      </c>
      <c r="T167" t="str">
        <f>IF(F167="","",IFERROR(_xlfn.XLOOKUP(F167,TableLibraryBarriers[Type],TableLibraryBarriers[WorkingWidth]),""))</f>
        <v/>
      </c>
      <c r="U167" t="str">
        <f>IF(F167="","",IFERROR(_xlfn.XLOOKUP(F167,TableLibraryBarriers[Type],TableLibraryBarriers[Layer]),""))</f>
        <v/>
      </c>
      <c r="V167" t="str">
        <f>IF(F167="","",IFERROR(_xlfn.XLOOKUP(F167,TableLibraryBarriers[Type],TableLibraryBarriers[TimeUnitLength(h)]),""))</f>
        <v/>
      </c>
      <c r="W167" t="str">
        <f>IF(F167="","",IFERROR(_xlfn.XLOOKUP(F167,TableLibraryBarriers[Type],TableLibraryBarriers[CostUnitLength]),""))</f>
        <v/>
      </c>
      <c r="X167" t="str">
        <f>IF(F167="","",IFERROR(_xlfn.XLOOKUP(F167,TableLibraryBarriers[Type],TableLibraryBarriers[Notes]),""))</f>
        <v/>
      </c>
      <c r="Y167" s="19"/>
      <c r="Z167" s="19"/>
    </row>
    <row r="168" spans="1:26">
      <c r="A168" t="str">
        <f t="shared" si="2"/>
        <v/>
      </c>
      <c r="C168" s="21"/>
      <c r="D168" s="21"/>
      <c r="E168" s="19"/>
      <c r="G168" s="16" t="str">
        <f>IF(BarriersTable[[#This Row],[PKStartValue]]="","",IF(C168="","",INT(C168/1000)&amp;"+"&amp;TEXT(MOD(C168,1000),"000.00")))</f>
        <v/>
      </c>
      <c r="H168" s="16" t="str">
        <f>IF(BarriersTable[[#This Row],[PKEndValue]]="","",IF(D168="","",INT(D168/1000)&amp;"+"&amp;TEXT(MOD(D168,1000),"000.00")))</f>
        <v/>
      </c>
      <c r="I168" t="str">
        <f>IF(F168="","",IFERROR(_xlfn.XLOOKUP(F168,TableLibraryBarriers[Type],TableLibraryBarriers[BarrierFamily]),""))</f>
        <v/>
      </c>
      <c r="J168" t="str">
        <f>IF(F168="","",IFERROR(_xlfn.XLOOKUP(F168,TableLibraryBarriers[Type],TableLibraryBarriers[BarrierType]),""))</f>
        <v/>
      </c>
      <c r="K168" t="str">
        <f>IF(F168="","",IFERROR(_xlfn.XLOOKUP(F168,TableLibraryBarriers[Type],TableLibraryBarriers[BlockLinear]),""))</f>
        <v/>
      </c>
      <c r="L168" t="str">
        <f>IF(F168="","",IFERROR(_xlfn.XLOOKUP(F168,TableLibraryBarriers[Type],TableLibraryBarriers[BlockPost]),""))</f>
        <v/>
      </c>
      <c r="M168" t="str">
        <f>IF(F168="","",IFERROR(_xlfn.XLOOKUP(F168,TableLibraryBarriers[Type],TableLibraryBarriers[IFCEntity]),""))</f>
        <v/>
      </c>
      <c r="N168" t="str">
        <f>IF(F168="","",IFERROR(_xlfn.XLOOKUP(F168,TableLibraryBarriers[Type],TableLibraryBarriers[Material]),""))</f>
        <v/>
      </c>
      <c r="O168" t="str">
        <f>IF(F168="","",IFERROR(_xlfn.XLOOKUP(F168,TableLibraryBarriers[Type],TableLibraryBarriers[PostSpacing]),""))</f>
        <v/>
      </c>
      <c r="P168" t="str">
        <f>IF(F168="","",IFERROR(_xlfn.XLOOKUP(F168,TableLibraryBarriers[Type],TableLibraryBarriers[ModuleLength]),""))</f>
        <v/>
      </c>
      <c r="Q168" t="str">
        <f>IF(F168="","",IFERROR(_xlfn.XLOOKUP(F168,TableLibraryBarriers[Type],TableLibraryBarriers[Height]),""))</f>
        <v/>
      </c>
      <c r="R168" t="str">
        <f>IF(F168="","",IFERROR(_xlfn.XLOOKUP(F168,TableLibraryBarriers[Type],TableLibraryBarriers[Width]),""))</f>
        <v/>
      </c>
      <c r="S168" t="str">
        <f>IF(F168="","",IFERROR(_xlfn.XLOOKUP(F168,TableLibraryBarriers[Type],TableLibraryBarriers[ContainmentLevel]),""))</f>
        <v/>
      </c>
      <c r="T168" t="str">
        <f>IF(F168="","",IFERROR(_xlfn.XLOOKUP(F168,TableLibraryBarriers[Type],TableLibraryBarriers[WorkingWidth]),""))</f>
        <v/>
      </c>
      <c r="U168" t="str">
        <f>IF(F168="","",IFERROR(_xlfn.XLOOKUP(F168,TableLibraryBarriers[Type],TableLibraryBarriers[Layer]),""))</f>
        <v/>
      </c>
      <c r="V168" t="str">
        <f>IF(F168="","",IFERROR(_xlfn.XLOOKUP(F168,TableLibraryBarriers[Type],TableLibraryBarriers[TimeUnitLength(h)]),""))</f>
        <v/>
      </c>
      <c r="W168" t="str">
        <f>IF(F168="","",IFERROR(_xlfn.XLOOKUP(F168,TableLibraryBarriers[Type],TableLibraryBarriers[CostUnitLength]),""))</f>
        <v/>
      </c>
      <c r="X168" t="str">
        <f>IF(F168="","",IFERROR(_xlfn.XLOOKUP(F168,TableLibraryBarriers[Type],TableLibraryBarriers[Notes]),""))</f>
        <v/>
      </c>
      <c r="Y168" s="19"/>
      <c r="Z168" s="19"/>
    </row>
    <row r="169" spans="1:26">
      <c r="A169" t="str">
        <f t="shared" si="2"/>
        <v/>
      </c>
      <c r="C169" s="21"/>
      <c r="D169" s="21"/>
      <c r="E169" s="19"/>
      <c r="G169" s="16" t="str">
        <f>IF(BarriersTable[[#This Row],[PKStartValue]]="","",IF(C169="","",INT(C169/1000)&amp;"+"&amp;TEXT(MOD(C169,1000),"000.00")))</f>
        <v/>
      </c>
      <c r="H169" s="16" t="str">
        <f>IF(BarriersTable[[#This Row],[PKEndValue]]="","",IF(D169="","",INT(D169/1000)&amp;"+"&amp;TEXT(MOD(D169,1000),"000.00")))</f>
        <v/>
      </c>
      <c r="I169" t="str">
        <f>IF(F169="","",IFERROR(_xlfn.XLOOKUP(F169,TableLibraryBarriers[Type],TableLibraryBarriers[BarrierFamily]),""))</f>
        <v/>
      </c>
      <c r="J169" t="str">
        <f>IF(F169="","",IFERROR(_xlfn.XLOOKUP(F169,TableLibraryBarriers[Type],TableLibraryBarriers[BarrierType]),""))</f>
        <v/>
      </c>
      <c r="K169" t="str">
        <f>IF(F169="","",IFERROR(_xlfn.XLOOKUP(F169,TableLibraryBarriers[Type],TableLibraryBarriers[BlockLinear]),""))</f>
        <v/>
      </c>
      <c r="L169" t="str">
        <f>IF(F169="","",IFERROR(_xlfn.XLOOKUP(F169,TableLibraryBarriers[Type],TableLibraryBarriers[BlockPost]),""))</f>
        <v/>
      </c>
      <c r="M169" t="str">
        <f>IF(F169="","",IFERROR(_xlfn.XLOOKUP(F169,TableLibraryBarriers[Type],TableLibraryBarriers[IFCEntity]),""))</f>
        <v/>
      </c>
      <c r="N169" t="str">
        <f>IF(F169="","",IFERROR(_xlfn.XLOOKUP(F169,TableLibraryBarriers[Type],TableLibraryBarriers[Material]),""))</f>
        <v/>
      </c>
      <c r="O169" t="str">
        <f>IF(F169="","",IFERROR(_xlfn.XLOOKUP(F169,TableLibraryBarriers[Type],TableLibraryBarriers[PostSpacing]),""))</f>
        <v/>
      </c>
      <c r="P169" t="str">
        <f>IF(F169="","",IFERROR(_xlfn.XLOOKUP(F169,TableLibraryBarriers[Type],TableLibraryBarriers[ModuleLength]),""))</f>
        <v/>
      </c>
      <c r="Q169" t="str">
        <f>IF(F169="","",IFERROR(_xlfn.XLOOKUP(F169,TableLibraryBarriers[Type],TableLibraryBarriers[Height]),""))</f>
        <v/>
      </c>
      <c r="R169" t="str">
        <f>IF(F169="","",IFERROR(_xlfn.XLOOKUP(F169,TableLibraryBarriers[Type],TableLibraryBarriers[Width]),""))</f>
        <v/>
      </c>
      <c r="S169" t="str">
        <f>IF(F169="","",IFERROR(_xlfn.XLOOKUP(F169,TableLibraryBarriers[Type],TableLibraryBarriers[ContainmentLevel]),""))</f>
        <v/>
      </c>
      <c r="T169" t="str">
        <f>IF(F169="","",IFERROR(_xlfn.XLOOKUP(F169,TableLibraryBarriers[Type],TableLibraryBarriers[WorkingWidth]),""))</f>
        <v/>
      </c>
      <c r="U169" t="str">
        <f>IF(F169="","",IFERROR(_xlfn.XLOOKUP(F169,TableLibraryBarriers[Type],TableLibraryBarriers[Layer]),""))</f>
        <v/>
      </c>
      <c r="V169" t="str">
        <f>IF(F169="","",IFERROR(_xlfn.XLOOKUP(F169,TableLibraryBarriers[Type],TableLibraryBarriers[TimeUnitLength(h)]),""))</f>
        <v/>
      </c>
      <c r="W169" t="str">
        <f>IF(F169="","",IFERROR(_xlfn.XLOOKUP(F169,TableLibraryBarriers[Type],TableLibraryBarriers[CostUnitLength]),""))</f>
        <v/>
      </c>
      <c r="X169" t="str">
        <f>IF(F169="","",IFERROR(_xlfn.XLOOKUP(F169,TableLibraryBarriers[Type],TableLibraryBarriers[Notes]),""))</f>
        <v/>
      </c>
      <c r="Y169" s="19"/>
      <c r="Z169" s="19"/>
    </row>
    <row r="170" spans="1:26">
      <c r="A170" t="str">
        <f t="shared" si="2"/>
        <v/>
      </c>
      <c r="C170" s="21"/>
      <c r="D170" s="21"/>
      <c r="E170" s="19"/>
      <c r="G170" s="16" t="str">
        <f>IF(BarriersTable[[#This Row],[PKStartValue]]="","",IF(C170="","",INT(C170/1000)&amp;"+"&amp;TEXT(MOD(C170,1000),"000.00")))</f>
        <v/>
      </c>
      <c r="H170" s="16" t="str">
        <f>IF(BarriersTable[[#This Row],[PKEndValue]]="","",IF(D170="","",INT(D170/1000)&amp;"+"&amp;TEXT(MOD(D170,1000),"000.00")))</f>
        <v/>
      </c>
      <c r="I170" t="str">
        <f>IF(F170="","",IFERROR(_xlfn.XLOOKUP(F170,TableLibraryBarriers[Type],TableLibraryBarriers[BarrierFamily]),""))</f>
        <v/>
      </c>
      <c r="J170" t="str">
        <f>IF(F170="","",IFERROR(_xlfn.XLOOKUP(F170,TableLibraryBarriers[Type],TableLibraryBarriers[BarrierType]),""))</f>
        <v/>
      </c>
      <c r="K170" t="str">
        <f>IF(F170="","",IFERROR(_xlfn.XLOOKUP(F170,TableLibraryBarriers[Type],TableLibraryBarriers[BlockLinear]),""))</f>
        <v/>
      </c>
      <c r="L170" t="str">
        <f>IF(F170="","",IFERROR(_xlfn.XLOOKUP(F170,TableLibraryBarriers[Type],TableLibraryBarriers[BlockPost]),""))</f>
        <v/>
      </c>
      <c r="M170" t="str">
        <f>IF(F170="","",IFERROR(_xlfn.XLOOKUP(F170,TableLibraryBarriers[Type],TableLibraryBarriers[IFCEntity]),""))</f>
        <v/>
      </c>
      <c r="N170" t="str">
        <f>IF(F170="","",IFERROR(_xlfn.XLOOKUP(F170,TableLibraryBarriers[Type],TableLibraryBarriers[Material]),""))</f>
        <v/>
      </c>
      <c r="O170" t="str">
        <f>IF(F170="","",IFERROR(_xlfn.XLOOKUP(F170,TableLibraryBarriers[Type],TableLibraryBarriers[PostSpacing]),""))</f>
        <v/>
      </c>
      <c r="P170" t="str">
        <f>IF(F170="","",IFERROR(_xlfn.XLOOKUP(F170,TableLibraryBarriers[Type],TableLibraryBarriers[ModuleLength]),""))</f>
        <v/>
      </c>
      <c r="Q170" t="str">
        <f>IF(F170="","",IFERROR(_xlfn.XLOOKUP(F170,TableLibraryBarriers[Type],TableLibraryBarriers[Height]),""))</f>
        <v/>
      </c>
      <c r="R170" t="str">
        <f>IF(F170="","",IFERROR(_xlfn.XLOOKUP(F170,TableLibraryBarriers[Type],TableLibraryBarriers[Width]),""))</f>
        <v/>
      </c>
      <c r="S170" t="str">
        <f>IF(F170="","",IFERROR(_xlfn.XLOOKUP(F170,TableLibraryBarriers[Type],TableLibraryBarriers[ContainmentLevel]),""))</f>
        <v/>
      </c>
      <c r="T170" t="str">
        <f>IF(F170="","",IFERROR(_xlfn.XLOOKUP(F170,TableLibraryBarriers[Type],TableLibraryBarriers[WorkingWidth]),""))</f>
        <v/>
      </c>
      <c r="U170" t="str">
        <f>IF(F170="","",IFERROR(_xlfn.XLOOKUP(F170,TableLibraryBarriers[Type],TableLibraryBarriers[Layer]),""))</f>
        <v/>
      </c>
      <c r="V170" t="str">
        <f>IF(F170="","",IFERROR(_xlfn.XLOOKUP(F170,TableLibraryBarriers[Type],TableLibraryBarriers[TimeUnitLength(h)]),""))</f>
        <v/>
      </c>
      <c r="W170" t="str">
        <f>IF(F170="","",IFERROR(_xlfn.XLOOKUP(F170,TableLibraryBarriers[Type],TableLibraryBarriers[CostUnitLength]),""))</f>
        <v/>
      </c>
      <c r="X170" t="str">
        <f>IF(F170="","",IFERROR(_xlfn.XLOOKUP(F170,TableLibraryBarriers[Type],TableLibraryBarriers[Notes]),""))</f>
        <v/>
      </c>
      <c r="Y170" s="19"/>
      <c r="Z170" s="19"/>
    </row>
    <row r="171" spans="1:26">
      <c r="A171" t="str">
        <f t="shared" si="2"/>
        <v/>
      </c>
      <c r="C171" s="21"/>
      <c r="D171" s="21"/>
      <c r="E171" s="19"/>
      <c r="G171" s="16" t="str">
        <f>IF(BarriersTable[[#This Row],[PKStartValue]]="","",IF(C171="","",INT(C171/1000)&amp;"+"&amp;TEXT(MOD(C171,1000),"000.00")))</f>
        <v/>
      </c>
      <c r="H171" s="16" t="str">
        <f>IF(BarriersTable[[#This Row],[PKEndValue]]="","",IF(D171="","",INT(D171/1000)&amp;"+"&amp;TEXT(MOD(D171,1000),"000.00")))</f>
        <v/>
      </c>
      <c r="I171" t="str">
        <f>IF(F171="","",IFERROR(_xlfn.XLOOKUP(F171,TableLibraryBarriers[Type],TableLibraryBarriers[BarrierFamily]),""))</f>
        <v/>
      </c>
      <c r="J171" t="str">
        <f>IF(F171="","",IFERROR(_xlfn.XLOOKUP(F171,TableLibraryBarriers[Type],TableLibraryBarriers[BarrierType]),""))</f>
        <v/>
      </c>
      <c r="K171" t="str">
        <f>IF(F171="","",IFERROR(_xlfn.XLOOKUP(F171,TableLibraryBarriers[Type],TableLibraryBarriers[BlockLinear]),""))</f>
        <v/>
      </c>
      <c r="L171" t="str">
        <f>IF(F171="","",IFERROR(_xlfn.XLOOKUP(F171,TableLibraryBarriers[Type],TableLibraryBarriers[BlockPost]),""))</f>
        <v/>
      </c>
      <c r="M171" t="str">
        <f>IF(F171="","",IFERROR(_xlfn.XLOOKUP(F171,TableLibraryBarriers[Type],TableLibraryBarriers[IFCEntity]),""))</f>
        <v/>
      </c>
      <c r="N171" t="str">
        <f>IF(F171="","",IFERROR(_xlfn.XLOOKUP(F171,TableLibraryBarriers[Type],TableLibraryBarriers[Material]),""))</f>
        <v/>
      </c>
      <c r="O171" t="str">
        <f>IF(F171="","",IFERROR(_xlfn.XLOOKUP(F171,TableLibraryBarriers[Type],TableLibraryBarriers[PostSpacing]),""))</f>
        <v/>
      </c>
      <c r="P171" t="str">
        <f>IF(F171="","",IFERROR(_xlfn.XLOOKUP(F171,TableLibraryBarriers[Type],TableLibraryBarriers[ModuleLength]),""))</f>
        <v/>
      </c>
      <c r="Q171" t="str">
        <f>IF(F171="","",IFERROR(_xlfn.XLOOKUP(F171,TableLibraryBarriers[Type],TableLibraryBarriers[Height]),""))</f>
        <v/>
      </c>
      <c r="R171" t="str">
        <f>IF(F171="","",IFERROR(_xlfn.XLOOKUP(F171,TableLibraryBarriers[Type],TableLibraryBarriers[Width]),""))</f>
        <v/>
      </c>
      <c r="S171" t="str">
        <f>IF(F171="","",IFERROR(_xlfn.XLOOKUP(F171,TableLibraryBarriers[Type],TableLibraryBarriers[ContainmentLevel]),""))</f>
        <v/>
      </c>
      <c r="T171" t="str">
        <f>IF(F171="","",IFERROR(_xlfn.XLOOKUP(F171,TableLibraryBarriers[Type],TableLibraryBarriers[WorkingWidth]),""))</f>
        <v/>
      </c>
      <c r="U171" t="str">
        <f>IF(F171="","",IFERROR(_xlfn.XLOOKUP(F171,TableLibraryBarriers[Type],TableLibraryBarriers[Layer]),""))</f>
        <v/>
      </c>
      <c r="V171" t="str">
        <f>IF(F171="","",IFERROR(_xlfn.XLOOKUP(F171,TableLibraryBarriers[Type],TableLibraryBarriers[TimeUnitLength(h)]),""))</f>
        <v/>
      </c>
      <c r="W171" t="str">
        <f>IF(F171="","",IFERROR(_xlfn.XLOOKUP(F171,TableLibraryBarriers[Type],TableLibraryBarriers[CostUnitLength]),""))</f>
        <v/>
      </c>
      <c r="X171" t="str">
        <f>IF(F171="","",IFERROR(_xlfn.XLOOKUP(F171,TableLibraryBarriers[Type],TableLibraryBarriers[Notes]),""))</f>
        <v/>
      </c>
      <c r="Y171" s="19"/>
      <c r="Z171" s="19"/>
    </row>
    <row r="172" spans="1:26">
      <c r="A172" t="str">
        <f t="shared" si="2"/>
        <v/>
      </c>
      <c r="C172" s="21"/>
      <c r="D172" s="21"/>
      <c r="E172" s="19"/>
      <c r="G172" s="16" t="str">
        <f>IF(BarriersTable[[#This Row],[PKStartValue]]="","",IF(C172="","",INT(C172/1000)&amp;"+"&amp;TEXT(MOD(C172,1000),"000.00")))</f>
        <v/>
      </c>
      <c r="H172" s="16" t="str">
        <f>IF(BarriersTable[[#This Row],[PKEndValue]]="","",IF(D172="","",INT(D172/1000)&amp;"+"&amp;TEXT(MOD(D172,1000),"000.00")))</f>
        <v/>
      </c>
      <c r="I172" t="str">
        <f>IF(F172="","",IFERROR(_xlfn.XLOOKUP(F172,TableLibraryBarriers[Type],TableLibraryBarriers[BarrierFamily]),""))</f>
        <v/>
      </c>
      <c r="J172" t="str">
        <f>IF(F172="","",IFERROR(_xlfn.XLOOKUP(F172,TableLibraryBarriers[Type],TableLibraryBarriers[BarrierType]),""))</f>
        <v/>
      </c>
      <c r="K172" t="str">
        <f>IF(F172="","",IFERROR(_xlfn.XLOOKUP(F172,TableLibraryBarriers[Type],TableLibraryBarriers[BlockLinear]),""))</f>
        <v/>
      </c>
      <c r="L172" t="str">
        <f>IF(F172="","",IFERROR(_xlfn.XLOOKUP(F172,TableLibraryBarriers[Type],TableLibraryBarriers[BlockPost]),""))</f>
        <v/>
      </c>
      <c r="M172" t="str">
        <f>IF(F172="","",IFERROR(_xlfn.XLOOKUP(F172,TableLibraryBarriers[Type],TableLibraryBarriers[IFCEntity]),""))</f>
        <v/>
      </c>
      <c r="N172" t="str">
        <f>IF(F172="","",IFERROR(_xlfn.XLOOKUP(F172,TableLibraryBarriers[Type],TableLibraryBarriers[Material]),""))</f>
        <v/>
      </c>
      <c r="O172" t="str">
        <f>IF(F172="","",IFERROR(_xlfn.XLOOKUP(F172,TableLibraryBarriers[Type],TableLibraryBarriers[PostSpacing]),""))</f>
        <v/>
      </c>
      <c r="P172" t="str">
        <f>IF(F172="","",IFERROR(_xlfn.XLOOKUP(F172,TableLibraryBarriers[Type],TableLibraryBarriers[ModuleLength]),""))</f>
        <v/>
      </c>
      <c r="Q172" t="str">
        <f>IF(F172="","",IFERROR(_xlfn.XLOOKUP(F172,TableLibraryBarriers[Type],TableLibraryBarriers[Height]),""))</f>
        <v/>
      </c>
      <c r="R172" t="str">
        <f>IF(F172="","",IFERROR(_xlfn.XLOOKUP(F172,TableLibraryBarriers[Type],TableLibraryBarriers[Width]),""))</f>
        <v/>
      </c>
      <c r="S172" t="str">
        <f>IF(F172="","",IFERROR(_xlfn.XLOOKUP(F172,TableLibraryBarriers[Type],TableLibraryBarriers[ContainmentLevel]),""))</f>
        <v/>
      </c>
      <c r="T172" t="str">
        <f>IF(F172="","",IFERROR(_xlfn.XLOOKUP(F172,TableLibraryBarriers[Type],TableLibraryBarriers[WorkingWidth]),""))</f>
        <v/>
      </c>
      <c r="U172" t="str">
        <f>IF(F172="","",IFERROR(_xlfn.XLOOKUP(F172,TableLibraryBarriers[Type],TableLibraryBarriers[Layer]),""))</f>
        <v/>
      </c>
      <c r="V172" t="str">
        <f>IF(F172="","",IFERROR(_xlfn.XLOOKUP(F172,TableLibraryBarriers[Type],TableLibraryBarriers[TimeUnitLength(h)]),""))</f>
        <v/>
      </c>
      <c r="W172" t="str">
        <f>IF(F172="","",IFERROR(_xlfn.XLOOKUP(F172,TableLibraryBarriers[Type],TableLibraryBarriers[CostUnitLength]),""))</f>
        <v/>
      </c>
      <c r="X172" t="str">
        <f>IF(F172="","",IFERROR(_xlfn.XLOOKUP(F172,TableLibraryBarriers[Type],TableLibraryBarriers[Notes]),""))</f>
        <v/>
      </c>
      <c r="Y172" s="19"/>
      <c r="Z172" s="19"/>
    </row>
    <row r="173" spans="1:26">
      <c r="A173" t="str">
        <f t="shared" si="2"/>
        <v/>
      </c>
      <c r="C173" s="21"/>
      <c r="D173" s="21"/>
      <c r="E173" s="19"/>
      <c r="G173" s="16" t="str">
        <f>IF(BarriersTable[[#This Row],[PKStartValue]]="","",IF(C173="","",INT(C173/1000)&amp;"+"&amp;TEXT(MOD(C173,1000),"000.00")))</f>
        <v/>
      </c>
      <c r="H173" s="16" t="str">
        <f>IF(BarriersTable[[#This Row],[PKEndValue]]="","",IF(D173="","",INT(D173/1000)&amp;"+"&amp;TEXT(MOD(D173,1000),"000.00")))</f>
        <v/>
      </c>
      <c r="I173" t="str">
        <f>IF(F173="","",IFERROR(_xlfn.XLOOKUP(F173,TableLibraryBarriers[Type],TableLibraryBarriers[BarrierFamily]),""))</f>
        <v/>
      </c>
      <c r="J173" t="str">
        <f>IF(F173="","",IFERROR(_xlfn.XLOOKUP(F173,TableLibraryBarriers[Type],TableLibraryBarriers[BarrierType]),""))</f>
        <v/>
      </c>
      <c r="K173" t="str">
        <f>IF(F173="","",IFERROR(_xlfn.XLOOKUP(F173,TableLibraryBarriers[Type],TableLibraryBarriers[BlockLinear]),""))</f>
        <v/>
      </c>
      <c r="L173" t="str">
        <f>IF(F173="","",IFERROR(_xlfn.XLOOKUP(F173,TableLibraryBarriers[Type],TableLibraryBarriers[BlockPost]),""))</f>
        <v/>
      </c>
      <c r="M173" t="str">
        <f>IF(F173="","",IFERROR(_xlfn.XLOOKUP(F173,TableLibraryBarriers[Type],TableLibraryBarriers[IFCEntity]),""))</f>
        <v/>
      </c>
      <c r="N173" t="str">
        <f>IF(F173="","",IFERROR(_xlfn.XLOOKUP(F173,TableLibraryBarriers[Type],TableLibraryBarriers[Material]),""))</f>
        <v/>
      </c>
      <c r="O173" t="str">
        <f>IF(F173="","",IFERROR(_xlfn.XLOOKUP(F173,TableLibraryBarriers[Type],TableLibraryBarriers[PostSpacing]),""))</f>
        <v/>
      </c>
      <c r="P173" t="str">
        <f>IF(F173="","",IFERROR(_xlfn.XLOOKUP(F173,TableLibraryBarriers[Type],TableLibraryBarriers[ModuleLength]),""))</f>
        <v/>
      </c>
      <c r="Q173" t="str">
        <f>IF(F173="","",IFERROR(_xlfn.XLOOKUP(F173,TableLibraryBarriers[Type],TableLibraryBarriers[Height]),""))</f>
        <v/>
      </c>
      <c r="R173" t="str">
        <f>IF(F173="","",IFERROR(_xlfn.XLOOKUP(F173,TableLibraryBarriers[Type],TableLibraryBarriers[Width]),""))</f>
        <v/>
      </c>
      <c r="S173" t="str">
        <f>IF(F173="","",IFERROR(_xlfn.XLOOKUP(F173,TableLibraryBarriers[Type],TableLibraryBarriers[ContainmentLevel]),""))</f>
        <v/>
      </c>
      <c r="T173" t="str">
        <f>IF(F173="","",IFERROR(_xlfn.XLOOKUP(F173,TableLibraryBarriers[Type],TableLibraryBarriers[WorkingWidth]),""))</f>
        <v/>
      </c>
      <c r="U173" t="str">
        <f>IF(F173="","",IFERROR(_xlfn.XLOOKUP(F173,TableLibraryBarriers[Type],TableLibraryBarriers[Layer]),""))</f>
        <v/>
      </c>
      <c r="V173" t="str">
        <f>IF(F173="","",IFERROR(_xlfn.XLOOKUP(F173,TableLibraryBarriers[Type],TableLibraryBarriers[TimeUnitLength(h)]),""))</f>
        <v/>
      </c>
      <c r="W173" t="str">
        <f>IF(F173="","",IFERROR(_xlfn.XLOOKUP(F173,TableLibraryBarriers[Type],TableLibraryBarriers[CostUnitLength]),""))</f>
        <v/>
      </c>
      <c r="X173" t="str">
        <f>IF(F173="","",IFERROR(_xlfn.XLOOKUP(F173,TableLibraryBarriers[Type],TableLibraryBarriers[Notes]),""))</f>
        <v/>
      </c>
      <c r="Y173" s="19"/>
      <c r="Z173" s="19"/>
    </row>
    <row r="174" spans="1:26">
      <c r="A174" t="str">
        <f t="shared" si="2"/>
        <v/>
      </c>
      <c r="C174" s="21"/>
      <c r="D174" s="21"/>
      <c r="E174" s="19"/>
      <c r="G174" s="16" t="str">
        <f>IF(BarriersTable[[#This Row],[PKStartValue]]="","",IF(C174="","",INT(C174/1000)&amp;"+"&amp;TEXT(MOD(C174,1000),"000.00")))</f>
        <v/>
      </c>
      <c r="H174" s="16" t="str">
        <f>IF(BarriersTable[[#This Row],[PKEndValue]]="","",IF(D174="","",INT(D174/1000)&amp;"+"&amp;TEXT(MOD(D174,1000),"000.00")))</f>
        <v/>
      </c>
      <c r="I174" t="str">
        <f>IF(F174="","",IFERROR(_xlfn.XLOOKUP(F174,TableLibraryBarriers[Type],TableLibraryBarriers[BarrierFamily]),""))</f>
        <v/>
      </c>
      <c r="J174" t="str">
        <f>IF(F174="","",IFERROR(_xlfn.XLOOKUP(F174,TableLibraryBarriers[Type],TableLibraryBarriers[BarrierType]),""))</f>
        <v/>
      </c>
      <c r="K174" t="str">
        <f>IF(F174="","",IFERROR(_xlfn.XLOOKUP(F174,TableLibraryBarriers[Type],TableLibraryBarriers[BlockLinear]),""))</f>
        <v/>
      </c>
      <c r="L174" t="str">
        <f>IF(F174="","",IFERROR(_xlfn.XLOOKUP(F174,TableLibraryBarriers[Type],TableLibraryBarriers[BlockPost]),""))</f>
        <v/>
      </c>
      <c r="M174" t="str">
        <f>IF(F174="","",IFERROR(_xlfn.XLOOKUP(F174,TableLibraryBarriers[Type],TableLibraryBarriers[IFCEntity]),""))</f>
        <v/>
      </c>
      <c r="N174" t="str">
        <f>IF(F174="","",IFERROR(_xlfn.XLOOKUP(F174,TableLibraryBarriers[Type],TableLibraryBarriers[Material]),""))</f>
        <v/>
      </c>
      <c r="O174" t="str">
        <f>IF(F174="","",IFERROR(_xlfn.XLOOKUP(F174,TableLibraryBarriers[Type],TableLibraryBarriers[PostSpacing]),""))</f>
        <v/>
      </c>
      <c r="P174" t="str">
        <f>IF(F174="","",IFERROR(_xlfn.XLOOKUP(F174,TableLibraryBarriers[Type],TableLibraryBarriers[ModuleLength]),""))</f>
        <v/>
      </c>
      <c r="Q174" t="str">
        <f>IF(F174="","",IFERROR(_xlfn.XLOOKUP(F174,TableLibraryBarriers[Type],TableLibraryBarriers[Height]),""))</f>
        <v/>
      </c>
      <c r="R174" t="str">
        <f>IF(F174="","",IFERROR(_xlfn.XLOOKUP(F174,TableLibraryBarriers[Type],TableLibraryBarriers[Width]),""))</f>
        <v/>
      </c>
      <c r="S174" t="str">
        <f>IF(F174="","",IFERROR(_xlfn.XLOOKUP(F174,TableLibraryBarriers[Type],TableLibraryBarriers[ContainmentLevel]),""))</f>
        <v/>
      </c>
      <c r="T174" t="str">
        <f>IF(F174="","",IFERROR(_xlfn.XLOOKUP(F174,TableLibraryBarriers[Type],TableLibraryBarriers[WorkingWidth]),""))</f>
        <v/>
      </c>
      <c r="U174" t="str">
        <f>IF(F174="","",IFERROR(_xlfn.XLOOKUP(F174,TableLibraryBarriers[Type],TableLibraryBarriers[Layer]),""))</f>
        <v/>
      </c>
      <c r="V174" t="str">
        <f>IF(F174="","",IFERROR(_xlfn.XLOOKUP(F174,TableLibraryBarriers[Type],TableLibraryBarriers[TimeUnitLength(h)]),""))</f>
        <v/>
      </c>
      <c r="W174" t="str">
        <f>IF(F174="","",IFERROR(_xlfn.XLOOKUP(F174,TableLibraryBarriers[Type],TableLibraryBarriers[CostUnitLength]),""))</f>
        <v/>
      </c>
      <c r="X174" t="str">
        <f>IF(F174="","",IFERROR(_xlfn.XLOOKUP(F174,TableLibraryBarriers[Type],TableLibraryBarriers[Notes]),""))</f>
        <v/>
      </c>
      <c r="Y174" s="19"/>
      <c r="Z174" s="19"/>
    </row>
    <row r="175" spans="1:26">
      <c r="A175" t="str">
        <f t="shared" si="2"/>
        <v/>
      </c>
      <c r="C175" s="21"/>
      <c r="D175" s="21"/>
      <c r="E175" s="19"/>
      <c r="G175" s="16" t="str">
        <f>IF(BarriersTable[[#This Row],[PKStartValue]]="","",IF(C175="","",INT(C175/1000)&amp;"+"&amp;TEXT(MOD(C175,1000),"000.00")))</f>
        <v/>
      </c>
      <c r="H175" s="16" t="str">
        <f>IF(BarriersTable[[#This Row],[PKEndValue]]="","",IF(D175="","",INT(D175/1000)&amp;"+"&amp;TEXT(MOD(D175,1000),"000.00")))</f>
        <v/>
      </c>
      <c r="I175" t="str">
        <f>IF(F175="","",IFERROR(_xlfn.XLOOKUP(F175,TableLibraryBarriers[Type],TableLibraryBarriers[BarrierFamily]),""))</f>
        <v/>
      </c>
      <c r="J175" t="str">
        <f>IF(F175="","",IFERROR(_xlfn.XLOOKUP(F175,TableLibraryBarriers[Type],TableLibraryBarriers[BarrierType]),""))</f>
        <v/>
      </c>
      <c r="K175" t="str">
        <f>IF(F175="","",IFERROR(_xlfn.XLOOKUP(F175,TableLibraryBarriers[Type],TableLibraryBarriers[BlockLinear]),""))</f>
        <v/>
      </c>
      <c r="L175" t="str">
        <f>IF(F175="","",IFERROR(_xlfn.XLOOKUP(F175,TableLibraryBarriers[Type],TableLibraryBarriers[BlockPost]),""))</f>
        <v/>
      </c>
      <c r="M175" t="str">
        <f>IF(F175="","",IFERROR(_xlfn.XLOOKUP(F175,TableLibraryBarriers[Type],TableLibraryBarriers[IFCEntity]),""))</f>
        <v/>
      </c>
      <c r="N175" t="str">
        <f>IF(F175="","",IFERROR(_xlfn.XLOOKUP(F175,TableLibraryBarriers[Type],TableLibraryBarriers[Material]),""))</f>
        <v/>
      </c>
      <c r="O175" t="str">
        <f>IF(F175="","",IFERROR(_xlfn.XLOOKUP(F175,TableLibraryBarriers[Type],TableLibraryBarriers[PostSpacing]),""))</f>
        <v/>
      </c>
      <c r="P175" t="str">
        <f>IF(F175="","",IFERROR(_xlfn.XLOOKUP(F175,TableLibraryBarriers[Type],TableLibraryBarriers[ModuleLength]),""))</f>
        <v/>
      </c>
      <c r="Q175" t="str">
        <f>IF(F175="","",IFERROR(_xlfn.XLOOKUP(F175,TableLibraryBarriers[Type],TableLibraryBarriers[Height]),""))</f>
        <v/>
      </c>
      <c r="R175" t="str">
        <f>IF(F175="","",IFERROR(_xlfn.XLOOKUP(F175,TableLibraryBarriers[Type],TableLibraryBarriers[Width]),""))</f>
        <v/>
      </c>
      <c r="S175" t="str">
        <f>IF(F175="","",IFERROR(_xlfn.XLOOKUP(F175,TableLibraryBarriers[Type],TableLibraryBarriers[ContainmentLevel]),""))</f>
        <v/>
      </c>
      <c r="T175" t="str">
        <f>IF(F175="","",IFERROR(_xlfn.XLOOKUP(F175,TableLibraryBarriers[Type],TableLibraryBarriers[WorkingWidth]),""))</f>
        <v/>
      </c>
      <c r="U175" t="str">
        <f>IF(F175="","",IFERROR(_xlfn.XLOOKUP(F175,TableLibraryBarriers[Type],TableLibraryBarriers[Layer]),""))</f>
        <v/>
      </c>
      <c r="V175" t="str">
        <f>IF(F175="","",IFERROR(_xlfn.XLOOKUP(F175,TableLibraryBarriers[Type],TableLibraryBarriers[TimeUnitLength(h)]),""))</f>
        <v/>
      </c>
      <c r="W175" t="str">
        <f>IF(F175="","",IFERROR(_xlfn.XLOOKUP(F175,TableLibraryBarriers[Type],TableLibraryBarriers[CostUnitLength]),""))</f>
        <v/>
      </c>
      <c r="X175" t="str">
        <f>IF(F175="","",IFERROR(_xlfn.XLOOKUP(F175,TableLibraryBarriers[Type],TableLibraryBarriers[Notes]),""))</f>
        <v/>
      </c>
      <c r="Y175" s="19"/>
      <c r="Z175" s="19"/>
    </row>
    <row r="176" spans="1:26">
      <c r="A176" t="str">
        <f t="shared" si="2"/>
        <v/>
      </c>
      <c r="C176" s="21"/>
      <c r="D176" s="21"/>
      <c r="E176" s="19"/>
      <c r="G176" s="16" t="str">
        <f>IF(BarriersTable[[#This Row],[PKStartValue]]="","",IF(C176="","",INT(C176/1000)&amp;"+"&amp;TEXT(MOD(C176,1000),"000.00")))</f>
        <v/>
      </c>
      <c r="H176" s="16" t="str">
        <f>IF(BarriersTable[[#This Row],[PKEndValue]]="","",IF(D176="","",INT(D176/1000)&amp;"+"&amp;TEXT(MOD(D176,1000),"000.00")))</f>
        <v/>
      </c>
      <c r="I176" t="str">
        <f>IF(F176="","",IFERROR(_xlfn.XLOOKUP(F176,TableLibraryBarriers[Type],TableLibraryBarriers[BarrierFamily]),""))</f>
        <v/>
      </c>
      <c r="J176" t="str">
        <f>IF(F176="","",IFERROR(_xlfn.XLOOKUP(F176,TableLibraryBarriers[Type],TableLibraryBarriers[BarrierType]),""))</f>
        <v/>
      </c>
      <c r="K176" t="str">
        <f>IF(F176="","",IFERROR(_xlfn.XLOOKUP(F176,TableLibraryBarriers[Type],TableLibraryBarriers[BlockLinear]),""))</f>
        <v/>
      </c>
      <c r="L176" t="str">
        <f>IF(F176="","",IFERROR(_xlfn.XLOOKUP(F176,TableLibraryBarriers[Type],TableLibraryBarriers[BlockPost]),""))</f>
        <v/>
      </c>
      <c r="M176" t="str">
        <f>IF(F176="","",IFERROR(_xlfn.XLOOKUP(F176,TableLibraryBarriers[Type],TableLibraryBarriers[IFCEntity]),""))</f>
        <v/>
      </c>
      <c r="N176" t="str">
        <f>IF(F176="","",IFERROR(_xlfn.XLOOKUP(F176,TableLibraryBarriers[Type],TableLibraryBarriers[Material]),""))</f>
        <v/>
      </c>
      <c r="O176" t="str">
        <f>IF(F176="","",IFERROR(_xlfn.XLOOKUP(F176,TableLibraryBarriers[Type],TableLibraryBarriers[PostSpacing]),""))</f>
        <v/>
      </c>
      <c r="P176" t="str">
        <f>IF(F176="","",IFERROR(_xlfn.XLOOKUP(F176,TableLibraryBarriers[Type],TableLibraryBarriers[ModuleLength]),""))</f>
        <v/>
      </c>
      <c r="Q176" t="str">
        <f>IF(F176="","",IFERROR(_xlfn.XLOOKUP(F176,TableLibraryBarriers[Type],TableLibraryBarriers[Height]),""))</f>
        <v/>
      </c>
      <c r="R176" t="str">
        <f>IF(F176="","",IFERROR(_xlfn.XLOOKUP(F176,TableLibraryBarriers[Type],TableLibraryBarriers[Width]),""))</f>
        <v/>
      </c>
      <c r="S176" t="str">
        <f>IF(F176="","",IFERROR(_xlfn.XLOOKUP(F176,TableLibraryBarriers[Type],TableLibraryBarriers[ContainmentLevel]),""))</f>
        <v/>
      </c>
      <c r="T176" t="str">
        <f>IF(F176="","",IFERROR(_xlfn.XLOOKUP(F176,TableLibraryBarriers[Type],TableLibraryBarriers[WorkingWidth]),""))</f>
        <v/>
      </c>
      <c r="U176" t="str">
        <f>IF(F176="","",IFERROR(_xlfn.XLOOKUP(F176,TableLibraryBarriers[Type],TableLibraryBarriers[Layer]),""))</f>
        <v/>
      </c>
      <c r="V176" t="str">
        <f>IF(F176="","",IFERROR(_xlfn.XLOOKUP(F176,TableLibraryBarriers[Type],TableLibraryBarriers[TimeUnitLength(h)]),""))</f>
        <v/>
      </c>
      <c r="W176" t="str">
        <f>IF(F176="","",IFERROR(_xlfn.XLOOKUP(F176,TableLibraryBarriers[Type],TableLibraryBarriers[CostUnitLength]),""))</f>
        <v/>
      </c>
      <c r="X176" t="str">
        <f>IF(F176="","",IFERROR(_xlfn.XLOOKUP(F176,TableLibraryBarriers[Type],TableLibraryBarriers[Notes]),""))</f>
        <v/>
      </c>
      <c r="Y176" s="19"/>
      <c r="Z176" s="19"/>
    </row>
    <row r="177" spans="1:26">
      <c r="A177" t="str">
        <f t="shared" si="2"/>
        <v/>
      </c>
      <c r="C177" s="21"/>
      <c r="D177" s="21"/>
      <c r="E177" s="19"/>
      <c r="G177" s="16" t="str">
        <f>IF(BarriersTable[[#This Row],[PKStartValue]]="","",IF(C177="","",INT(C177/1000)&amp;"+"&amp;TEXT(MOD(C177,1000),"000.00")))</f>
        <v/>
      </c>
      <c r="H177" s="16" t="str">
        <f>IF(BarriersTable[[#This Row],[PKEndValue]]="","",IF(D177="","",INT(D177/1000)&amp;"+"&amp;TEXT(MOD(D177,1000),"000.00")))</f>
        <v/>
      </c>
      <c r="I177" t="str">
        <f>IF(F177="","",IFERROR(_xlfn.XLOOKUP(F177,TableLibraryBarriers[Type],TableLibraryBarriers[BarrierFamily]),""))</f>
        <v/>
      </c>
      <c r="J177" t="str">
        <f>IF(F177="","",IFERROR(_xlfn.XLOOKUP(F177,TableLibraryBarriers[Type],TableLibraryBarriers[BarrierType]),""))</f>
        <v/>
      </c>
      <c r="K177" t="str">
        <f>IF(F177="","",IFERROR(_xlfn.XLOOKUP(F177,TableLibraryBarriers[Type],TableLibraryBarriers[BlockLinear]),""))</f>
        <v/>
      </c>
      <c r="L177" t="str">
        <f>IF(F177="","",IFERROR(_xlfn.XLOOKUP(F177,TableLibraryBarriers[Type],TableLibraryBarriers[BlockPost]),""))</f>
        <v/>
      </c>
      <c r="M177" t="str">
        <f>IF(F177="","",IFERROR(_xlfn.XLOOKUP(F177,TableLibraryBarriers[Type],TableLibraryBarriers[IFCEntity]),""))</f>
        <v/>
      </c>
      <c r="N177" t="str">
        <f>IF(F177="","",IFERROR(_xlfn.XLOOKUP(F177,TableLibraryBarriers[Type],TableLibraryBarriers[Material]),""))</f>
        <v/>
      </c>
      <c r="O177" t="str">
        <f>IF(F177="","",IFERROR(_xlfn.XLOOKUP(F177,TableLibraryBarriers[Type],TableLibraryBarriers[PostSpacing]),""))</f>
        <v/>
      </c>
      <c r="P177" t="str">
        <f>IF(F177="","",IFERROR(_xlfn.XLOOKUP(F177,TableLibraryBarriers[Type],TableLibraryBarriers[ModuleLength]),""))</f>
        <v/>
      </c>
      <c r="Q177" t="str">
        <f>IF(F177="","",IFERROR(_xlfn.XLOOKUP(F177,TableLibraryBarriers[Type],TableLibraryBarriers[Height]),""))</f>
        <v/>
      </c>
      <c r="R177" t="str">
        <f>IF(F177="","",IFERROR(_xlfn.XLOOKUP(F177,TableLibraryBarriers[Type],TableLibraryBarriers[Width]),""))</f>
        <v/>
      </c>
      <c r="S177" t="str">
        <f>IF(F177="","",IFERROR(_xlfn.XLOOKUP(F177,TableLibraryBarriers[Type],TableLibraryBarriers[ContainmentLevel]),""))</f>
        <v/>
      </c>
      <c r="T177" t="str">
        <f>IF(F177="","",IFERROR(_xlfn.XLOOKUP(F177,TableLibraryBarriers[Type],TableLibraryBarriers[WorkingWidth]),""))</f>
        <v/>
      </c>
      <c r="U177" t="str">
        <f>IF(F177="","",IFERROR(_xlfn.XLOOKUP(F177,TableLibraryBarriers[Type],TableLibraryBarriers[Layer]),""))</f>
        <v/>
      </c>
      <c r="V177" t="str">
        <f>IF(F177="","",IFERROR(_xlfn.XLOOKUP(F177,TableLibraryBarriers[Type],TableLibraryBarriers[TimeUnitLength(h)]),""))</f>
        <v/>
      </c>
      <c r="W177" t="str">
        <f>IF(F177="","",IFERROR(_xlfn.XLOOKUP(F177,TableLibraryBarriers[Type],TableLibraryBarriers[CostUnitLength]),""))</f>
        <v/>
      </c>
      <c r="X177" t="str">
        <f>IF(F177="","",IFERROR(_xlfn.XLOOKUP(F177,TableLibraryBarriers[Type],TableLibraryBarriers[Notes]),""))</f>
        <v/>
      </c>
      <c r="Y177" s="19"/>
      <c r="Z177" s="19"/>
    </row>
    <row r="178" spans="1:26">
      <c r="A178" t="str">
        <f t="shared" si="2"/>
        <v/>
      </c>
      <c r="C178" s="21"/>
      <c r="D178" s="21"/>
      <c r="E178" s="19"/>
      <c r="G178" s="16" t="str">
        <f>IF(BarriersTable[[#This Row],[PKStartValue]]="","",IF(C178="","",INT(C178/1000)&amp;"+"&amp;TEXT(MOD(C178,1000),"000.00")))</f>
        <v/>
      </c>
      <c r="H178" s="16" t="str">
        <f>IF(BarriersTable[[#This Row],[PKEndValue]]="","",IF(D178="","",INT(D178/1000)&amp;"+"&amp;TEXT(MOD(D178,1000),"000.00")))</f>
        <v/>
      </c>
      <c r="I178" t="str">
        <f>IF(F178="","",IFERROR(_xlfn.XLOOKUP(F178,TableLibraryBarriers[Type],TableLibraryBarriers[BarrierFamily]),""))</f>
        <v/>
      </c>
      <c r="J178" t="str">
        <f>IF(F178="","",IFERROR(_xlfn.XLOOKUP(F178,TableLibraryBarriers[Type],TableLibraryBarriers[BarrierType]),""))</f>
        <v/>
      </c>
      <c r="K178" t="str">
        <f>IF(F178="","",IFERROR(_xlfn.XLOOKUP(F178,TableLibraryBarriers[Type],TableLibraryBarriers[BlockLinear]),""))</f>
        <v/>
      </c>
      <c r="L178" t="str">
        <f>IF(F178="","",IFERROR(_xlfn.XLOOKUP(F178,TableLibraryBarriers[Type],TableLibraryBarriers[BlockPost]),""))</f>
        <v/>
      </c>
      <c r="M178" t="str">
        <f>IF(F178="","",IFERROR(_xlfn.XLOOKUP(F178,TableLibraryBarriers[Type],TableLibraryBarriers[IFCEntity]),""))</f>
        <v/>
      </c>
      <c r="N178" t="str">
        <f>IF(F178="","",IFERROR(_xlfn.XLOOKUP(F178,TableLibraryBarriers[Type],TableLibraryBarriers[Material]),""))</f>
        <v/>
      </c>
      <c r="O178" t="str">
        <f>IF(F178="","",IFERROR(_xlfn.XLOOKUP(F178,TableLibraryBarriers[Type],TableLibraryBarriers[PostSpacing]),""))</f>
        <v/>
      </c>
      <c r="P178" t="str">
        <f>IF(F178="","",IFERROR(_xlfn.XLOOKUP(F178,TableLibraryBarriers[Type],TableLibraryBarriers[ModuleLength]),""))</f>
        <v/>
      </c>
      <c r="Q178" t="str">
        <f>IF(F178="","",IFERROR(_xlfn.XLOOKUP(F178,TableLibraryBarriers[Type],TableLibraryBarriers[Height]),""))</f>
        <v/>
      </c>
      <c r="R178" t="str">
        <f>IF(F178="","",IFERROR(_xlfn.XLOOKUP(F178,TableLibraryBarriers[Type],TableLibraryBarriers[Width]),""))</f>
        <v/>
      </c>
      <c r="S178" t="str">
        <f>IF(F178="","",IFERROR(_xlfn.XLOOKUP(F178,TableLibraryBarriers[Type],TableLibraryBarriers[ContainmentLevel]),""))</f>
        <v/>
      </c>
      <c r="T178" t="str">
        <f>IF(F178="","",IFERROR(_xlfn.XLOOKUP(F178,TableLibraryBarriers[Type],TableLibraryBarriers[WorkingWidth]),""))</f>
        <v/>
      </c>
      <c r="U178" t="str">
        <f>IF(F178="","",IFERROR(_xlfn.XLOOKUP(F178,TableLibraryBarriers[Type],TableLibraryBarriers[Layer]),""))</f>
        <v/>
      </c>
      <c r="V178" t="str">
        <f>IF(F178="","",IFERROR(_xlfn.XLOOKUP(F178,TableLibraryBarriers[Type],TableLibraryBarriers[TimeUnitLength(h)]),""))</f>
        <v/>
      </c>
      <c r="W178" t="str">
        <f>IF(F178="","",IFERROR(_xlfn.XLOOKUP(F178,TableLibraryBarriers[Type],TableLibraryBarriers[CostUnitLength]),""))</f>
        <v/>
      </c>
      <c r="X178" t="str">
        <f>IF(F178="","",IFERROR(_xlfn.XLOOKUP(F178,TableLibraryBarriers[Type],TableLibraryBarriers[Notes]),""))</f>
        <v/>
      </c>
      <c r="Y178" s="19"/>
      <c r="Z178" s="19"/>
    </row>
    <row r="179" spans="1:26">
      <c r="A179" t="str">
        <f t="shared" si="2"/>
        <v/>
      </c>
      <c r="C179" s="21"/>
      <c r="D179" s="21"/>
      <c r="E179" s="19"/>
      <c r="G179" s="16" t="str">
        <f>IF(BarriersTable[[#This Row],[PKStartValue]]="","",IF(C179="","",INT(C179/1000)&amp;"+"&amp;TEXT(MOD(C179,1000),"000.00")))</f>
        <v/>
      </c>
      <c r="H179" s="16" t="str">
        <f>IF(BarriersTable[[#This Row],[PKEndValue]]="","",IF(D179="","",INT(D179/1000)&amp;"+"&amp;TEXT(MOD(D179,1000),"000.00")))</f>
        <v/>
      </c>
      <c r="I179" t="str">
        <f>IF(F179="","",IFERROR(_xlfn.XLOOKUP(F179,TableLibraryBarriers[Type],TableLibraryBarriers[BarrierFamily]),""))</f>
        <v/>
      </c>
      <c r="J179" t="str">
        <f>IF(F179="","",IFERROR(_xlfn.XLOOKUP(F179,TableLibraryBarriers[Type],TableLibraryBarriers[BarrierType]),""))</f>
        <v/>
      </c>
      <c r="K179" t="str">
        <f>IF(F179="","",IFERROR(_xlfn.XLOOKUP(F179,TableLibraryBarriers[Type],TableLibraryBarriers[BlockLinear]),""))</f>
        <v/>
      </c>
      <c r="L179" t="str">
        <f>IF(F179="","",IFERROR(_xlfn.XLOOKUP(F179,TableLibraryBarriers[Type],TableLibraryBarriers[BlockPost]),""))</f>
        <v/>
      </c>
      <c r="M179" t="str">
        <f>IF(F179="","",IFERROR(_xlfn.XLOOKUP(F179,TableLibraryBarriers[Type],TableLibraryBarriers[IFCEntity]),""))</f>
        <v/>
      </c>
      <c r="N179" t="str">
        <f>IF(F179="","",IFERROR(_xlfn.XLOOKUP(F179,TableLibraryBarriers[Type],TableLibraryBarriers[Material]),""))</f>
        <v/>
      </c>
      <c r="O179" t="str">
        <f>IF(F179="","",IFERROR(_xlfn.XLOOKUP(F179,TableLibraryBarriers[Type],TableLibraryBarriers[PostSpacing]),""))</f>
        <v/>
      </c>
      <c r="P179" t="str">
        <f>IF(F179="","",IFERROR(_xlfn.XLOOKUP(F179,TableLibraryBarriers[Type],TableLibraryBarriers[ModuleLength]),""))</f>
        <v/>
      </c>
      <c r="Q179" t="str">
        <f>IF(F179="","",IFERROR(_xlfn.XLOOKUP(F179,TableLibraryBarriers[Type],TableLibraryBarriers[Height]),""))</f>
        <v/>
      </c>
      <c r="R179" t="str">
        <f>IF(F179="","",IFERROR(_xlfn.XLOOKUP(F179,TableLibraryBarriers[Type],TableLibraryBarriers[Width]),""))</f>
        <v/>
      </c>
      <c r="S179" t="str">
        <f>IF(F179="","",IFERROR(_xlfn.XLOOKUP(F179,TableLibraryBarriers[Type],TableLibraryBarriers[ContainmentLevel]),""))</f>
        <v/>
      </c>
      <c r="T179" t="str">
        <f>IF(F179="","",IFERROR(_xlfn.XLOOKUP(F179,TableLibraryBarriers[Type],TableLibraryBarriers[WorkingWidth]),""))</f>
        <v/>
      </c>
      <c r="U179" t="str">
        <f>IF(F179="","",IFERROR(_xlfn.XLOOKUP(F179,TableLibraryBarriers[Type],TableLibraryBarriers[Layer]),""))</f>
        <v/>
      </c>
      <c r="V179" t="str">
        <f>IF(F179="","",IFERROR(_xlfn.XLOOKUP(F179,TableLibraryBarriers[Type],TableLibraryBarriers[TimeUnitLength(h)]),""))</f>
        <v/>
      </c>
      <c r="W179" t="str">
        <f>IF(F179="","",IFERROR(_xlfn.XLOOKUP(F179,TableLibraryBarriers[Type],TableLibraryBarriers[CostUnitLength]),""))</f>
        <v/>
      </c>
      <c r="X179" t="str">
        <f>IF(F179="","",IFERROR(_xlfn.XLOOKUP(F179,TableLibraryBarriers[Type],TableLibraryBarriers[Notes]),""))</f>
        <v/>
      </c>
      <c r="Y179" s="19"/>
      <c r="Z179" s="19"/>
    </row>
    <row r="180" spans="1:26">
      <c r="A180" t="str">
        <f t="shared" si="2"/>
        <v/>
      </c>
      <c r="C180" s="21"/>
      <c r="D180" s="21"/>
      <c r="E180" s="19"/>
      <c r="G180" s="16" t="str">
        <f>IF(BarriersTable[[#This Row],[PKStartValue]]="","",IF(C180="","",INT(C180/1000)&amp;"+"&amp;TEXT(MOD(C180,1000),"000.00")))</f>
        <v/>
      </c>
      <c r="H180" s="16" t="str">
        <f>IF(BarriersTable[[#This Row],[PKEndValue]]="","",IF(D180="","",INT(D180/1000)&amp;"+"&amp;TEXT(MOD(D180,1000),"000.00")))</f>
        <v/>
      </c>
      <c r="I180" t="str">
        <f>IF(F180="","",IFERROR(_xlfn.XLOOKUP(F180,TableLibraryBarriers[Type],TableLibraryBarriers[BarrierFamily]),""))</f>
        <v/>
      </c>
      <c r="J180" t="str">
        <f>IF(F180="","",IFERROR(_xlfn.XLOOKUP(F180,TableLibraryBarriers[Type],TableLibraryBarriers[BarrierType]),""))</f>
        <v/>
      </c>
      <c r="K180" t="str">
        <f>IF(F180="","",IFERROR(_xlfn.XLOOKUP(F180,TableLibraryBarriers[Type],TableLibraryBarriers[BlockLinear]),""))</f>
        <v/>
      </c>
      <c r="L180" t="str">
        <f>IF(F180="","",IFERROR(_xlfn.XLOOKUP(F180,TableLibraryBarriers[Type],TableLibraryBarriers[BlockPost]),""))</f>
        <v/>
      </c>
      <c r="M180" t="str">
        <f>IF(F180="","",IFERROR(_xlfn.XLOOKUP(F180,TableLibraryBarriers[Type],TableLibraryBarriers[IFCEntity]),""))</f>
        <v/>
      </c>
      <c r="N180" t="str">
        <f>IF(F180="","",IFERROR(_xlfn.XLOOKUP(F180,TableLibraryBarriers[Type],TableLibraryBarriers[Material]),""))</f>
        <v/>
      </c>
      <c r="O180" t="str">
        <f>IF(F180="","",IFERROR(_xlfn.XLOOKUP(F180,TableLibraryBarriers[Type],TableLibraryBarriers[PostSpacing]),""))</f>
        <v/>
      </c>
      <c r="P180" t="str">
        <f>IF(F180="","",IFERROR(_xlfn.XLOOKUP(F180,TableLibraryBarriers[Type],TableLibraryBarriers[ModuleLength]),""))</f>
        <v/>
      </c>
      <c r="Q180" t="str">
        <f>IF(F180="","",IFERROR(_xlfn.XLOOKUP(F180,TableLibraryBarriers[Type],TableLibraryBarriers[Height]),""))</f>
        <v/>
      </c>
      <c r="R180" t="str">
        <f>IF(F180="","",IFERROR(_xlfn.XLOOKUP(F180,TableLibraryBarriers[Type],TableLibraryBarriers[Width]),""))</f>
        <v/>
      </c>
      <c r="S180" t="str">
        <f>IF(F180="","",IFERROR(_xlfn.XLOOKUP(F180,TableLibraryBarriers[Type],TableLibraryBarriers[ContainmentLevel]),""))</f>
        <v/>
      </c>
      <c r="T180" t="str">
        <f>IF(F180="","",IFERROR(_xlfn.XLOOKUP(F180,TableLibraryBarriers[Type],TableLibraryBarriers[WorkingWidth]),""))</f>
        <v/>
      </c>
      <c r="U180" t="str">
        <f>IF(F180="","",IFERROR(_xlfn.XLOOKUP(F180,TableLibraryBarriers[Type],TableLibraryBarriers[Layer]),""))</f>
        <v/>
      </c>
      <c r="V180" t="str">
        <f>IF(F180="","",IFERROR(_xlfn.XLOOKUP(F180,TableLibraryBarriers[Type],TableLibraryBarriers[TimeUnitLength(h)]),""))</f>
        <v/>
      </c>
      <c r="W180" t="str">
        <f>IF(F180="","",IFERROR(_xlfn.XLOOKUP(F180,TableLibraryBarriers[Type],TableLibraryBarriers[CostUnitLength]),""))</f>
        <v/>
      </c>
      <c r="X180" t="str">
        <f>IF(F180="","",IFERROR(_xlfn.XLOOKUP(F180,TableLibraryBarriers[Type],TableLibraryBarriers[Notes]),""))</f>
        <v/>
      </c>
      <c r="Y180" s="19"/>
      <c r="Z180" s="19"/>
    </row>
    <row r="181" spans="1:26">
      <c r="A181" t="str">
        <f t="shared" si="2"/>
        <v/>
      </c>
      <c r="C181" s="21"/>
      <c r="D181" s="21"/>
      <c r="E181" s="19"/>
      <c r="G181" s="16" t="str">
        <f>IF(BarriersTable[[#This Row],[PKStartValue]]="","",IF(C181="","",INT(C181/1000)&amp;"+"&amp;TEXT(MOD(C181,1000),"000.00")))</f>
        <v/>
      </c>
      <c r="H181" s="16" t="str">
        <f>IF(BarriersTable[[#This Row],[PKEndValue]]="","",IF(D181="","",INT(D181/1000)&amp;"+"&amp;TEXT(MOD(D181,1000),"000.00")))</f>
        <v/>
      </c>
      <c r="I181" t="str">
        <f>IF(F181="","",IFERROR(_xlfn.XLOOKUP(F181,TableLibraryBarriers[Type],TableLibraryBarriers[BarrierFamily]),""))</f>
        <v/>
      </c>
      <c r="J181" t="str">
        <f>IF(F181="","",IFERROR(_xlfn.XLOOKUP(F181,TableLibraryBarriers[Type],TableLibraryBarriers[BarrierType]),""))</f>
        <v/>
      </c>
      <c r="K181" t="str">
        <f>IF(F181="","",IFERROR(_xlfn.XLOOKUP(F181,TableLibraryBarriers[Type],TableLibraryBarriers[BlockLinear]),""))</f>
        <v/>
      </c>
      <c r="L181" t="str">
        <f>IF(F181="","",IFERROR(_xlfn.XLOOKUP(F181,TableLibraryBarriers[Type],TableLibraryBarriers[BlockPost]),""))</f>
        <v/>
      </c>
      <c r="M181" t="str">
        <f>IF(F181="","",IFERROR(_xlfn.XLOOKUP(F181,TableLibraryBarriers[Type],TableLibraryBarriers[IFCEntity]),""))</f>
        <v/>
      </c>
      <c r="N181" t="str">
        <f>IF(F181="","",IFERROR(_xlfn.XLOOKUP(F181,TableLibraryBarriers[Type],TableLibraryBarriers[Material]),""))</f>
        <v/>
      </c>
      <c r="O181" t="str">
        <f>IF(F181="","",IFERROR(_xlfn.XLOOKUP(F181,TableLibraryBarriers[Type],TableLibraryBarriers[PostSpacing]),""))</f>
        <v/>
      </c>
      <c r="P181" t="str">
        <f>IF(F181="","",IFERROR(_xlfn.XLOOKUP(F181,TableLibraryBarriers[Type],TableLibraryBarriers[ModuleLength]),""))</f>
        <v/>
      </c>
      <c r="Q181" t="str">
        <f>IF(F181="","",IFERROR(_xlfn.XLOOKUP(F181,TableLibraryBarriers[Type],TableLibraryBarriers[Height]),""))</f>
        <v/>
      </c>
      <c r="R181" t="str">
        <f>IF(F181="","",IFERROR(_xlfn.XLOOKUP(F181,TableLibraryBarriers[Type],TableLibraryBarriers[Width]),""))</f>
        <v/>
      </c>
      <c r="S181" t="str">
        <f>IF(F181="","",IFERROR(_xlfn.XLOOKUP(F181,TableLibraryBarriers[Type],TableLibraryBarriers[ContainmentLevel]),""))</f>
        <v/>
      </c>
      <c r="T181" t="str">
        <f>IF(F181="","",IFERROR(_xlfn.XLOOKUP(F181,TableLibraryBarriers[Type],TableLibraryBarriers[WorkingWidth]),""))</f>
        <v/>
      </c>
      <c r="U181" t="str">
        <f>IF(F181="","",IFERROR(_xlfn.XLOOKUP(F181,TableLibraryBarriers[Type],TableLibraryBarriers[Layer]),""))</f>
        <v/>
      </c>
      <c r="V181" t="str">
        <f>IF(F181="","",IFERROR(_xlfn.XLOOKUP(F181,TableLibraryBarriers[Type],TableLibraryBarriers[TimeUnitLength(h)]),""))</f>
        <v/>
      </c>
      <c r="W181" t="str">
        <f>IF(F181="","",IFERROR(_xlfn.XLOOKUP(F181,TableLibraryBarriers[Type],TableLibraryBarriers[CostUnitLength]),""))</f>
        <v/>
      </c>
      <c r="X181" t="str">
        <f>IF(F181="","",IFERROR(_xlfn.XLOOKUP(F181,TableLibraryBarriers[Type],TableLibraryBarriers[Notes]),""))</f>
        <v/>
      </c>
      <c r="Y181" s="19"/>
      <c r="Z181" s="19"/>
    </row>
    <row r="182" spans="1:26">
      <c r="A182" t="str">
        <f t="shared" si="2"/>
        <v/>
      </c>
      <c r="C182" s="21"/>
      <c r="D182" s="21"/>
      <c r="E182" s="19"/>
      <c r="G182" s="16" t="str">
        <f>IF(BarriersTable[[#This Row],[PKStartValue]]="","",IF(C182="","",INT(C182/1000)&amp;"+"&amp;TEXT(MOD(C182,1000),"000.00")))</f>
        <v/>
      </c>
      <c r="H182" s="16" t="str">
        <f>IF(BarriersTable[[#This Row],[PKEndValue]]="","",IF(D182="","",INT(D182/1000)&amp;"+"&amp;TEXT(MOD(D182,1000),"000.00")))</f>
        <v/>
      </c>
      <c r="I182" t="str">
        <f>IF(F182="","",IFERROR(_xlfn.XLOOKUP(F182,TableLibraryBarriers[Type],TableLibraryBarriers[BarrierFamily]),""))</f>
        <v/>
      </c>
      <c r="J182" t="str">
        <f>IF(F182="","",IFERROR(_xlfn.XLOOKUP(F182,TableLibraryBarriers[Type],TableLibraryBarriers[BarrierType]),""))</f>
        <v/>
      </c>
      <c r="K182" t="str">
        <f>IF(F182="","",IFERROR(_xlfn.XLOOKUP(F182,TableLibraryBarriers[Type],TableLibraryBarriers[BlockLinear]),""))</f>
        <v/>
      </c>
      <c r="L182" t="str">
        <f>IF(F182="","",IFERROR(_xlfn.XLOOKUP(F182,TableLibraryBarriers[Type],TableLibraryBarriers[BlockPost]),""))</f>
        <v/>
      </c>
      <c r="M182" t="str">
        <f>IF(F182="","",IFERROR(_xlfn.XLOOKUP(F182,TableLibraryBarriers[Type],TableLibraryBarriers[IFCEntity]),""))</f>
        <v/>
      </c>
      <c r="N182" t="str">
        <f>IF(F182="","",IFERROR(_xlfn.XLOOKUP(F182,TableLibraryBarriers[Type],TableLibraryBarriers[Material]),""))</f>
        <v/>
      </c>
      <c r="O182" t="str">
        <f>IF(F182="","",IFERROR(_xlfn.XLOOKUP(F182,TableLibraryBarriers[Type],TableLibraryBarriers[PostSpacing]),""))</f>
        <v/>
      </c>
      <c r="P182" t="str">
        <f>IF(F182="","",IFERROR(_xlfn.XLOOKUP(F182,TableLibraryBarriers[Type],TableLibraryBarriers[ModuleLength]),""))</f>
        <v/>
      </c>
      <c r="Q182" t="str">
        <f>IF(F182="","",IFERROR(_xlfn.XLOOKUP(F182,TableLibraryBarriers[Type],TableLibraryBarriers[Height]),""))</f>
        <v/>
      </c>
      <c r="R182" t="str">
        <f>IF(F182="","",IFERROR(_xlfn.XLOOKUP(F182,TableLibraryBarriers[Type],TableLibraryBarriers[Width]),""))</f>
        <v/>
      </c>
      <c r="S182" t="str">
        <f>IF(F182="","",IFERROR(_xlfn.XLOOKUP(F182,TableLibraryBarriers[Type],TableLibraryBarriers[ContainmentLevel]),""))</f>
        <v/>
      </c>
      <c r="T182" t="str">
        <f>IF(F182="","",IFERROR(_xlfn.XLOOKUP(F182,TableLibraryBarriers[Type],TableLibraryBarriers[WorkingWidth]),""))</f>
        <v/>
      </c>
      <c r="U182" t="str">
        <f>IF(F182="","",IFERROR(_xlfn.XLOOKUP(F182,TableLibraryBarriers[Type],TableLibraryBarriers[Layer]),""))</f>
        <v/>
      </c>
      <c r="V182" t="str">
        <f>IF(F182="","",IFERROR(_xlfn.XLOOKUP(F182,TableLibraryBarriers[Type],TableLibraryBarriers[TimeUnitLength(h)]),""))</f>
        <v/>
      </c>
      <c r="W182" t="str">
        <f>IF(F182="","",IFERROR(_xlfn.XLOOKUP(F182,TableLibraryBarriers[Type],TableLibraryBarriers[CostUnitLength]),""))</f>
        <v/>
      </c>
      <c r="X182" t="str">
        <f>IF(F182="","",IFERROR(_xlfn.XLOOKUP(F182,TableLibraryBarriers[Type],TableLibraryBarriers[Notes]),""))</f>
        <v/>
      </c>
      <c r="Y182" s="19"/>
      <c r="Z182" s="19"/>
    </row>
    <row r="183" spans="1:26">
      <c r="A183" t="str">
        <f t="shared" si="2"/>
        <v/>
      </c>
      <c r="C183" s="21"/>
      <c r="D183" s="21"/>
      <c r="E183" s="19"/>
      <c r="G183" s="16" t="str">
        <f>IF(BarriersTable[[#This Row],[PKStartValue]]="","",IF(C183="","",INT(C183/1000)&amp;"+"&amp;TEXT(MOD(C183,1000),"000.00")))</f>
        <v/>
      </c>
      <c r="H183" s="16" t="str">
        <f>IF(BarriersTable[[#This Row],[PKEndValue]]="","",IF(D183="","",INT(D183/1000)&amp;"+"&amp;TEXT(MOD(D183,1000),"000.00")))</f>
        <v/>
      </c>
      <c r="I183" t="str">
        <f>IF(F183="","",IFERROR(_xlfn.XLOOKUP(F183,TableLibraryBarriers[Type],TableLibraryBarriers[BarrierFamily]),""))</f>
        <v/>
      </c>
      <c r="J183" t="str">
        <f>IF(F183="","",IFERROR(_xlfn.XLOOKUP(F183,TableLibraryBarriers[Type],TableLibraryBarriers[BarrierType]),""))</f>
        <v/>
      </c>
      <c r="K183" t="str">
        <f>IF(F183="","",IFERROR(_xlfn.XLOOKUP(F183,TableLibraryBarriers[Type],TableLibraryBarriers[BlockLinear]),""))</f>
        <v/>
      </c>
      <c r="L183" t="str">
        <f>IF(F183="","",IFERROR(_xlfn.XLOOKUP(F183,TableLibraryBarriers[Type],TableLibraryBarriers[BlockPost]),""))</f>
        <v/>
      </c>
      <c r="M183" t="str">
        <f>IF(F183="","",IFERROR(_xlfn.XLOOKUP(F183,TableLibraryBarriers[Type],TableLibraryBarriers[IFCEntity]),""))</f>
        <v/>
      </c>
      <c r="N183" t="str">
        <f>IF(F183="","",IFERROR(_xlfn.XLOOKUP(F183,TableLibraryBarriers[Type],TableLibraryBarriers[Material]),""))</f>
        <v/>
      </c>
      <c r="O183" t="str">
        <f>IF(F183="","",IFERROR(_xlfn.XLOOKUP(F183,TableLibraryBarriers[Type],TableLibraryBarriers[PostSpacing]),""))</f>
        <v/>
      </c>
      <c r="P183" t="str">
        <f>IF(F183="","",IFERROR(_xlfn.XLOOKUP(F183,TableLibraryBarriers[Type],TableLibraryBarriers[ModuleLength]),""))</f>
        <v/>
      </c>
      <c r="Q183" t="str">
        <f>IF(F183="","",IFERROR(_xlfn.XLOOKUP(F183,TableLibraryBarriers[Type],TableLibraryBarriers[Height]),""))</f>
        <v/>
      </c>
      <c r="R183" t="str">
        <f>IF(F183="","",IFERROR(_xlfn.XLOOKUP(F183,TableLibraryBarriers[Type],TableLibraryBarriers[Width]),""))</f>
        <v/>
      </c>
      <c r="S183" t="str">
        <f>IF(F183="","",IFERROR(_xlfn.XLOOKUP(F183,TableLibraryBarriers[Type],TableLibraryBarriers[ContainmentLevel]),""))</f>
        <v/>
      </c>
      <c r="T183" t="str">
        <f>IF(F183="","",IFERROR(_xlfn.XLOOKUP(F183,TableLibraryBarriers[Type],TableLibraryBarriers[WorkingWidth]),""))</f>
        <v/>
      </c>
      <c r="U183" t="str">
        <f>IF(F183="","",IFERROR(_xlfn.XLOOKUP(F183,TableLibraryBarriers[Type],TableLibraryBarriers[Layer]),""))</f>
        <v/>
      </c>
      <c r="V183" t="str">
        <f>IF(F183="","",IFERROR(_xlfn.XLOOKUP(F183,TableLibraryBarriers[Type],TableLibraryBarriers[TimeUnitLength(h)]),""))</f>
        <v/>
      </c>
      <c r="W183" t="str">
        <f>IF(F183="","",IFERROR(_xlfn.XLOOKUP(F183,TableLibraryBarriers[Type],TableLibraryBarriers[CostUnitLength]),""))</f>
        <v/>
      </c>
      <c r="X183" t="str">
        <f>IF(F183="","",IFERROR(_xlfn.XLOOKUP(F183,TableLibraryBarriers[Type],TableLibraryBarriers[Notes]),""))</f>
        <v/>
      </c>
      <c r="Y183" s="19"/>
      <c r="Z183" s="19"/>
    </row>
    <row r="184" spans="1:26">
      <c r="A184" t="str">
        <f t="shared" si="2"/>
        <v/>
      </c>
      <c r="C184" s="21"/>
      <c r="D184" s="21"/>
      <c r="E184" s="19"/>
      <c r="G184" s="16" t="str">
        <f>IF(BarriersTable[[#This Row],[PKStartValue]]="","",IF(C184="","",INT(C184/1000)&amp;"+"&amp;TEXT(MOD(C184,1000),"000.00")))</f>
        <v/>
      </c>
      <c r="H184" s="16" t="str">
        <f>IF(BarriersTable[[#This Row],[PKEndValue]]="","",IF(D184="","",INT(D184/1000)&amp;"+"&amp;TEXT(MOD(D184,1000),"000.00")))</f>
        <v/>
      </c>
      <c r="I184" t="str">
        <f>IF(F184="","",IFERROR(_xlfn.XLOOKUP(F184,TableLibraryBarriers[Type],TableLibraryBarriers[BarrierFamily]),""))</f>
        <v/>
      </c>
      <c r="J184" t="str">
        <f>IF(F184="","",IFERROR(_xlfn.XLOOKUP(F184,TableLibraryBarriers[Type],TableLibraryBarriers[BarrierType]),""))</f>
        <v/>
      </c>
      <c r="K184" t="str">
        <f>IF(F184="","",IFERROR(_xlfn.XLOOKUP(F184,TableLibraryBarriers[Type],TableLibraryBarriers[BlockLinear]),""))</f>
        <v/>
      </c>
      <c r="L184" t="str">
        <f>IF(F184="","",IFERROR(_xlfn.XLOOKUP(F184,TableLibraryBarriers[Type],TableLibraryBarriers[BlockPost]),""))</f>
        <v/>
      </c>
      <c r="M184" t="str">
        <f>IF(F184="","",IFERROR(_xlfn.XLOOKUP(F184,TableLibraryBarriers[Type],TableLibraryBarriers[IFCEntity]),""))</f>
        <v/>
      </c>
      <c r="N184" t="str">
        <f>IF(F184="","",IFERROR(_xlfn.XLOOKUP(F184,TableLibraryBarriers[Type],TableLibraryBarriers[Material]),""))</f>
        <v/>
      </c>
      <c r="O184" t="str">
        <f>IF(F184="","",IFERROR(_xlfn.XLOOKUP(F184,TableLibraryBarriers[Type],TableLibraryBarriers[PostSpacing]),""))</f>
        <v/>
      </c>
      <c r="P184" t="str">
        <f>IF(F184="","",IFERROR(_xlfn.XLOOKUP(F184,TableLibraryBarriers[Type],TableLibraryBarriers[ModuleLength]),""))</f>
        <v/>
      </c>
      <c r="Q184" t="str">
        <f>IF(F184="","",IFERROR(_xlfn.XLOOKUP(F184,TableLibraryBarriers[Type],TableLibraryBarriers[Height]),""))</f>
        <v/>
      </c>
      <c r="R184" t="str">
        <f>IF(F184="","",IFERROR(_xlfn.XLOOKUP(F184,TableLibraryBarriers[Type],TableLibraryBarriers[Width]),""))</f>
        <v/>
      </c>
      <c r="S184" t="str">
        <f>IF(F184="","",IFERROR(_xlfn.XLOOKUP(F184,TableLibraryBarriers[Type],TableLibraryBarriers[ContainmentLevel]),""))</f>
        <v/>
      </c>
      <c r="T184" t="str">
        <f>IF(F184="","",IFERROR(_xlfn.XLOOKUP(F184,TableLibraryBarriers[Type],TableLibraryBarriers[WorkingWidth]),""))</f>
        <v/>
      </c>
      <c r="U184" t="str">
        <f>IF(F184="","",IFERROR(_xlfn.XLOOKUP(F184,TableLibraryBarriers[Type],TableLibraryBarriers[Layer]),""))</f>
        <v/>
      </c>
      <c r="V184" t="str">
        <f>IF(F184="","",IFERROR(_xlfn.XLOOKUP(F184,TableLibraryBarriers[Type],TableLibraryBarriers[TimeUnitLength(h)]),""))</f>
        <v/>
      </c>
      <c r="W184" t="str">
        <f>IF(F184="","",IFERROR(_xlfn.XLOOKUP(F184,TableLibraryBarriers[Type],TableLibraryBarriers[CostUnitLength]),""))</f>
        <v/>
      </c>
      <c r="X184" t="str">
        <f>IF(F184="","",IFERROR(_xlfn.XLOOKUP(F184,TableLibraryBarriers[Type],TableLibraryBarriers[Notes]),""))</f>
        <v/>
      </c>
      <c r="Y184" s="19"/>
      <c r="Z184" s="19"/>
    </row>
    <row r="185" spans="1:26">
      <c r="A185" t="str">
        <f t="shared" si="2"/>
        <v/>
      </c>
      <c r="C185" s="21"/>
      <c r="D185" s="21"/>
      <c r="E185" s="19"/>
      <c r="G185" s="16" t="str">
        <f>IF(BarriersTable[[#This Row],[PKStartValue]]="","",IF(C185="","",INT(C185/1000)&amp;"+"&amp;TEXT(MOD(C185,1000),"000.00")))</f>
        <v/>
      </c>
      <c r="H185" s="16" t="str">
        <f>IF(BarriersTable[[#This Row],[PKEndValue]]="","",IF(D185="","",INT(D185/1000)&amp;"+"&amp;TEXT(MOD(D185,1000),"000.00")))</f>
        <v/>
      </c>
      <c r="I185" t="str">
        <f>IF(F185="","",IFERROR(_xlfn.XLOOKUP(F185,TableLibraryBarriers[Type],TableLibraryBarriers[BarrierFamily]),""))</f>
        <v/>
      </c>
      <c r="J185" t="str">
        <f>IF(F185="","",IFERROR(_xlfn.XLOOKUP(F185,TableLibraryBarriers[Type],TableLibraryBarriers[BarrierType]),""))</f>
        <v/>
      </c>
      <c r="K185" t="str">
        <f>IF(F185="","",IFERROR(_xlfn.XLOOKUP(F185,TableLibraryBarriers[Type],TableLibraryBarriers[BlockLinear]),""))</f>
        <v/>
      </c>
      <c r="L185" t="str">
        <f>IF(F185="","",IFERROR(_xlfn.XLOOKUP(F185,TableLibraryBarriers[Type],TableLibraryBarriers[BlockPost]),""))</f>
        <v/>
      </c>
      <c r="M185" t="str">
        <f>IF(F185="","",IFERROR(_xlfn.XLOOKUP(F185,TableLibraryBarriers[Type],TableLibraryBarriers[IFCEntity]),""))</f>
        <v/>
      </c>
      <c r="N185" t="str">
        <f>IF(F185="","",IFERROR(_xlfn.XLOOKUP(F185,TableLibraryBarriers[Type],TableLibraryBarriers[Material]),""))</f>
        <v/>
      </c>
      <c r="O185" t="str">
        <f>IF(F185="","",IFERROR(_xlfn.XLOOKUP(F185,TableLibraryBarriers[Type],TableLibraryBarriers[PostSpacing]),""))</f>
        <v/>
      </c>
      <c r="P185" t="str">
        <f>IF(F185="","",IFERROR(_xlfn.XLOOKUP(F185,TableLibraryBarriers[Type],TableLibraryBarriers[ModuleLength]),""))</f>
        <v/>
      </c>
      <c r="Q185" t="str">
        <f>IF(F185="","",IFERROR(_xlfn.XLOOKUP(F185,TableLibraryBarriers[Type],TableLibraryBarriers[Height]),""))</f>
        <v/>
      </c>
      <c r="R185" t="str">
        <f>IF(F185="","",IFERROR(_xlfn.XLOOKUP(F185,TableLibraryBarriers[Type],TableLibraryBarriers[Width]),""))</f>
        <v/>
      </c>
      <c r="S185" t="str">
        <f>IF(F185="","",IFERROR(_xlfn.XLOOKUP(F185,TableLibraryBarriers[Type],TableLibraryBarriers[ContainmentLevel]),""))</f>
        <v/>
      </c>
      <c r="T185" t="str">
        <f>IF(F185="","",IFERROR(_xlfn.XLOOKUP(F185,TableLibraryBarriers[Type],TableLibraryBarriers[WorkingWidth]),""))</f>
        <v/>
      </c>
      <c r="U185" t="str">
        <f>IF(F185="","",IFERROR(_xlfn.XLOOKUP(F185,TableLibraryBarriers[Type],TableLibraryBarriers[Layer]),""))</f>
        <v/>
      </c>
      <c r="V185" t="str">
        <f>IF(F185="","",IFERROR(_xlfn.XLOOKUP(F185,TableLibraryBarriers[Type],TableLibraryBarriers[TimeUnitLength(h)]),""))</f>
        <v/>
      </c>
      <c r="W185" t="str">
        <f>IF(F185="","",IFERROR(_xlfn.XLOOKUP(F185,TableLibraryBarriers[Type],TableLibraryBarriers[CostUnitLength]),""))</f>
        <v/>
      </c>
      <c r="X185" t="str">
        <f>IF(F185="","",IFERROR(_xlfn.XLOOKUP(F185,TableLibraryBarriers[Type],TableLibraryBarriers[Notes]),""))</f>
        <v/>
      </c>
      <c r="Y185" s="19"/>
      <c r="Z185" s="19"/>
    </row>
    <row r="186" spans="1:26">
      <c r="A186" t="str">
        <f t="shared" si="2"/>
        <v/>
      </c>
      <c r="C186" s="21"/>
      <c r="D186" s="21"/>
      <c r="E186" s="19"/>
      <c r="G186" s="16" t="str">
        <f>IF(BarriersTable[[#This Row],[PKStartValue]]="","",IF(C186="","",INT(C186/1000)&amp;"+"&amp;TEXT(MOD(C186,1000),"000.00")))</f>
        <v/>
      </c>
      <c r="H186" s="16" t="str">
        <f>IF(BarriersTable[[#This Row],[PKEndValue]]="","",IF(D186="","",INT(D186/1000)&amp;"+"&amp;TEXT(MOD(D186,1000),"000.00")))</f>
        <v/>
      </c>
      <c r="I186" t="str">
        <f>IF(F186="","",IFERROR(_xlfn.XLOOKUP(F186,TableLibraryBarriers[Type],TableLibraryBarriers[BarrierFamily]),""))</f>
        <v/>
      </c>
      <c r="J186" t="str">
        <f>IF(F186="","",IFERROR(_xlfn.XLOOKUP(F186,TableLibraryBarriers[Type],TableLibraryBarriers[BarrierType]),""))</f>
        <v/>
      </c>
      <c r="K186" t="str">
        <f>IF(F186="","",IFERROR(_xlfn.XLOOKUP(F186,TableLibraryBarriers[Type],TableLibraryBarriers[BlockLinear]),""))</f>
        <v/>
      </c>
      <c r="L186" t="str">
        <f>IF(F186="","",IFERROR(_xlfn.XLOOKUP(F186,TableLibraryBarriers[Type],TableLibraryBarriers[BlockPost]),""))</f>
        <v/>
      </c>
      <c r="M186" t="str">
        <f>IF(F186="","",IFERROR(_xlfn.XLOOKUP(F186,TableLibraryBarriers[Type],TableLibraryBarriers[IFCEntity]),""))</f>
        <v/>
      </c>
      <c r="N186" t="str">
        <f>IF(F186="","",IFERROR(_xlfn.XLOOKUP(F186,TableLibraryBarriers[Type],TableLibraryBarriers[Material]),""))</f>
        <v/>
      </c>
      <c r="O186" t="str">
        <f>IF(F186="","",IFERROR(_xlfn.XLOOKUP(F186,TableLibraryBarriers[Type],TableLibraryBarriers[PostSpacing]),""))</f>
        <v/>
      </c>
      <c r="P186" t="str">
        <f>IF(F186="","",IFERROR(_xlfn.XLOOKUP(F186,TableLibraryBarriers[Type],TableLibraryBarriers[ModuleLength]),""))</f>
        <v/>
      </c>
      <c r="Q186" t="str">
        <f>IF(F186="","",IFERROR(_xlfn.XLOOKUP(F186,TableLibraryBarriers[Type],TableLibraryBarriers[Height]),""))</f>
        <v/>
      </c>
      <c r="R186" t="str">
        <f>IF(F186="","",IFERROR(_xlfn.XLOOKUP(F186,TableLibraryBarriers[Type],TableLibraryBarriers[Width]),""))</f>
        <v/>
      </c>
      <c r="S186" t="str">
        <f>IF(F186="","",IFERROR(_xlfn.XLOOKUP(F186,TableLibraryBarriers[Type],TableLibraryBarriers[ContainmentLevel]),""))</f>
        <v/>
      </c>
      <c r="T186" t="str">
        <f>IF(F186="","",IFERROR(_xlfn.XLOOKUP(F186,TableLibraryBarriers[Type],TableLibraryBarriers[WorkingWidth]),""))</f>
        <v/>
      </c>
      <c r="U186" t="str">
        <f>IF(F186="","",IFERROR(_xlfn.XLOOKUP(F186,TableLibraryBarriers[Type],TableLibraryBarriers[Layer]),""))</f>
        <v/>
      </c>
      <c r="V186" t="str">
        <f>IF(F186="","",IFERROR(_xlfn.XLOOKUP(F186,TableLibraryBarriers[Type],TableLibraryBarriers[TimeUnitLength(h)]),""))</f>
        <v/>
      </c>
      <c r="W186" t="str">
        <f>IF(F186="","",IFERROR(_xlfn.XLOOKUP(F186,TableLibraryBarriers[Type],TableLibraryBarriers[CostUnitLength]),""))</f>
        <v/>
      </c>
      <c r="X186" t="str">
        <f>IF(F186="","",IFERROR(_xlfn.XLOOKUP(F186,TableLibraryBarriers[Type],TableLibraryBarriers[Notes]),""))</f>
        <v/>
      </c>
      <c r="Y186" s="19"/>
      <c r="Z186" s="19"/>
    </row>
    <row r="187" spans="1:26">
      <c r="A187" t="str">
        <f t="shared" si="2"/>
        <v/>
      </c>
      <c r="C187" s="21"/>
      <c r="D187" s="21"/>
      <c r="E187" s="19"/>
      <c r="G187" s="16" t="str">
        <f>IF(BarriersTable[[#This Row],[PKStartValue]]="","",IF(C187="","",INT(C187/1000)&amp;"+"&amp;TEXT(MOD(C187,1000),"000.00")))</f>
        <v/>
      </c>
      <c r="H187" s="16" t="str">
        <f>IF(BarriersTable[[#This Row],[PKEndValue]]="","",IF(D187="","",INT(D187/1000)&amp;"+"&amp;TEXT(MOD(D187,1000),"000.00")))</f>
        <v/>
      </c>
      <c r="I187" t="str">
        <f>IF(F187="","",IFERROR(_xlfn.XLOOKUP(F187,TableLibraryBarriers[Type],TableLibraryBarriers[BarrierFamily]),""))</f>
        <v/>
      </c>
      <c r="J187" t="str">
        <f>IF(F187="","",IFERROR(_xlfn.XLOOKUP(F187,TableLibraryBarriers[Type],TableLibraryBarriers[BarrierType]),""))</f>
        <v/>
      </c>
      <c r="K187" t="str">
        <f>IF(F187="","",IFERROR(_xlfn.XLOOKUP(F187,TableLibraryBarriers[Type],TableLibraryBarriers[BlockLinear]),""))</f>
        <v/>
      </c>
      <c r="L187" t="str">
        <f>IF(F187="","",IFERROR(_xlfn.XLOOKUP(F187,TableLibraryBarriers[Type],TableLibraryBarriers[BlockPost]),""))</f>
        <v/>
      </c>
      <c r="M187" t="str">
        <f>IF(F187="","",IFERROR(_xlfn.XLOOKUP(F187,TableLibraryBarriers[Type],TableLibraryBarriers[IFCEntity]),""))</f>
        <v/>
      </c>
      <c r="N187" t="str">
        <f>IF(F187="","",IFERROR(_xlfn.XLOOKUP(F187,TableLibraryBarriers[Type],TableLibraryBarriers[Material]),""))</f>
        <v/>
      </c>
      <c r="O187" t="str">
        <f>IF(F187="","",IFERROR(_xlfn.XLOOKUP(F187,TableLibraryBarriers[Type],TableLibraryBarriers[PostSpacing]),""))</f>
        <v/>
      </c>
      <c r="P187" t="str">
        <f>IF(F187="","",IFERROR(_xlfn.XLOOKUP(F187,TableLibraryBarriers[Type],TableLibraryBarriers[ModuleLength]),""))</f>
        <v/>
      </c>
      <c r="Q187" t="str">
        <f>IF(F187="","",IFERROR(_xlfn.XLOOKUP(F187,TableLibraryBarriers[Type],TableLibraryBarriers[Height]),""))</f>
        <v/>
      </c>
      <c r="R187" t="str">
        <f>IF(F187="","",IFERROR(_xlfn.XLOOKUP(F187,TableLibraryBarriers[Type],TableLibraryBarriers[Width]),""))</f>
        <v/>
      </c>
      <c r="S187" t="str">
        <f>IF(F187="","",IFERROR(_xlfn.XLOOKUP(F187,TableLibraryBarriers[Type],TableLibraryBarriers[ContainmentLevel]),""))</f>
        <v/>
      </c>
      <c r="T187" t="str">
        <f>IF(F187="","",IFERROR(_xlfn.XLOOKUP(F187,TableLibraryBarriers[Type],TableLibraryBarriers[WorkingWidth]),""))</f>
        <v/>
      </c>
      <c r="U187" t="str">
        <f>IF(F187="","",IFERROR(_xlfn.XLOOKUP(F187,TableLibraryBarriers[Type],TableLibraryBarriers[Layer]),""))</f>
        <v/>
      </c>
      <c r="V187" t="str">
        <f>IF(F187="","",IFERROR(_xlfn.XLOOKUP(F187,TableLibraryBarriers[Type],TableLibraryBarriers[TimeUnitLength(h)]),""))</f>
        <v/>
      </c>
      <c r="W187" t="str">
        <f>IF(F187="","",IFERROR(_xlfn.XLOOKUP(F187,TableLibraryBarriers[Type],TableLibraryBarriers[CostUnitLength]),""))</f>
        <v/>
      </c>
      <c r="X187" t="str">
        <f>IF(F187="","",IFERROR(_xlfn.XLOOKUP(F187,TableLibraryBarriers[Type],TableLibraryBarriers[Notes]),""))</f>
        <v/>
      </c>
      <c r="Y187" s="19"/>
      <c r="Z187" s="19"/>
    </row>
    <row r="188" spans="1:26">
      <c r="A188" t="str">
        <f t="shared" si="2"/>
        <v/>
      </c>
      <c r="C188" s="21"/>
      <c r="D188" s="21"/>
      <c r="E188" s="19"/>
      <c r="G188" s="16" t="str">
        <f>IF(BarriersTable[[#This Row],[PKStartValue]]="","",IF(C188="","",INT(C188/1000)&amp;"+"&amp;TEXT(MOD(C188,1000),"000.00")))</f>
        <v/>
      </c>
      <c r="H188" s="16" t="str">
        <f>IF(BarriersTable[[#This Row],[PKEndValue]]="","",IF(D188="","",INT(D188/1000)&amp;"+"&amp;TEXT(MOD(D188,1000),"000.00")))</f>
        <v/>
      </c>
      <c r="I188" t="str">
        <f>IF(F188="","",IFERROR(_xlfn.XLOOKUP(F188,TableLibraryBarriers[Type],TableLibraryBarriers[BarrierFamily]),""))</f>
        <v/>
      </c>
      <c r="J188" t="str">
        <f>IF(F188="","",IFERROR(_xlfn.XLOOKUP(F188,TableLibraryBarriers[Type],TableLibraryBarriers[BarrierType]),""))</f>
        <v/>
      </c>
      <c r="K188" t="str">
        <f>IF(F188="","",IFERROR(_xlfn.XLOOKUP(F188,TableLibraryBarriers[Type],TableLibraryBarriers[BlockLinear]),""))</f>
        <v/>
      </c>
      <c r="L188" t="str">
        <f>IF(F188="","",IFERROR(_xlfn.XLOOKUP(F188,TableLibraryBarriers[Type],TableLibraryBarriers[BlockPost]),""))</f>
        <v/>
      </c>
      <c r="M188" t="str">
        <f>IF(F188="","",IFERROR(_xlfn.XLOOKUP(F188,TableLibraryBarriers[Type],TableLibraryBarriers[IFCEntity]),""))</f>
        <v/>
      </c>
      <c r="N188" t="str">
        <f>IF(F188="","",IFERROR(_xlfn.XLOOKUP(F188,TableLibraryBarriers[Type],TableLibraryBarriers[Material]),""))</f>
        <v/>
      </c>
      <c r="O188" t="str">
        <f>IF(F188="","",IFERROR(_xlfn.XLOOKUP(F188,TableLibraryBarriers[Type],TableLibraryBarriers[PostSpacing]),""))</f>
        <v/>
      </c>
      <c r="P188" t="str">
        <f>IF(F188="","",IFERROR(_xlfn.XLOOKUP(F188,TableLibraryBarriers[Type],TableLibraryBarriers[ModuleLength]),""))</f>
        <v/>
      </c>
      <c r="Q188" t="str">
        <f>IF(F188="","",IFERROR(_xlfn.XLOOKUP(F188,TableLibraryBarriers[Type],TableLibraryBarriers[Height]),""))</f>
        <v/>
      </c>
      <c r="R188" t="str">
        <f>IF(F188="","",IFERROR(_xlfn.XLOOKUP(F188,TableLibraryBarriers[Type],TableLibraryBarriers[Width]),""))</f>
        <v/>
      </c>
      <c r="S188" t="str">
        <f>IF(F188="","",IFERROR(_xlfn.XLOOKUP(F188,TableLibraryBarriers[Type],TableLibraryBarriers[ContainmentLevel]),""))</f>
        <v/>
      </c>
      <c r="T188" t="str">
        <f>IF(F188="","",IFERROR(_xlfn.XLOOKUP(F188,TableLibraryBarriers[Type],TableLibraryBarriers[WorkingWidth]),""))</f>
        <v/>
      </c>
      <c r="U188" t="str">
        <f>IF(F188="","",IFERROR(_xlfn.XLOOKUP(F188,TableLibraryBarriers[Type],TableLibraryBarriers[Layer]),""))</f>
        <v/>
      </c>
      <c r="V188" t="str">
        <f>IF(F188="","",IFERROR(_xlfn.XLOOKUP(F188,TableLibraryBarriers[Type],TableLibraryBarriers[TimeUnitLength(h)]),""))</f>
        <v/>
      </c>
      <c r="W188" t="str">
        <f>IF(F188="","",IFERROR(_xlfn.XLOOKUP(F188,TableLibraryBarriers[Type],TableLibraryBarriers[CostUnitLength]),""))</f>
        <v/>
      </c>
      <c r="X188" t="str">
        <f>IF(F188="","",IFERROR(_xlfn.XLOOKUP(F188,TableLibraryBarriers[Type],TableLibraryBarriers[Notes]),""))</f>
        <v/>
      </c>
      <c r="Y188" s="19"/>
      <c r="Z188" s="19"/>
    </row>
    <row r="189" spans="1:26">
      <c r="A189" t="str">
        <f t="shared" si="2"/>
        <v/>
      </c>
      <c r="C189" s="21"/>
      <c r="D189" s="21"/>
      <c r="E189" s="19"/>
      <c r="G189" s="16" t="str">
        <f>IF(BarriersTable[[#This Row],[PKStartValue]]="","",IF(C189="","",INT(C189/1000)&amp;"+"&amp;TEXT(MOD(C189,1000),"000.00")))</f>
        <v/>
      </c>
      <c r="H189" s="16" t="str">
        <f>IF(BarriersTable[[#This Row],[PKEndValue]]="","",IF(D189="","",INT(D189/1000)&amp;"+"&amp;TEXT(MOD(D189,1000),"000.00")))</f>
        <v/>
      </c>
      <c r="I189" t="str">
        <f>IF(F189="","",IFERROR(_xlfn.XLOOKUP(F189,TableLibraryBarriers[Type],TableLibraryBarriers[BarrierFamily]),""))</f>
        <v/>
      </c>
      <c r="J189" t="str">
        <f>IF(F189="","",IFERROR(_xlfn.XLOOKUP(F189,TableLibraryBarriers[Type],TableLibraryBarriers[BarrierType]),""))</f>
        <v/>
      </c>
      <c r="K189" t="str">
        <f>IF(F189="","",IFERROR(_xlfn.XLOOKUP(F189,TableLibraryBarriers[Type],TableLibraryBarriers[BlockLinear]),""))</f>
        <v/>
      </c>
      <c r="L189" t="str">
        <f>IF(F189="","",IFERROR(_xlfn.XLOOKUP(F189,TableLibraryBarriers[Type],TableLibraryBarriers[BlockPost]),""))</f>
        <v/>
      </c>
      <c r="M189" t="str">
        <f>IF(F189="","",IFERROR(_xlfn.XLOOKUP(F189,TableLibraryBarriers[Type],TableLibraryBarriers[IFCEntity]),""))</f>
        <v/>
      </c>
      <c r="N189" t="str">
        <f>IF(F189="","",IFERROR(_xlfn.XLOOKUP(F189,TableLibraryBarriers[Type],TableLibraryBarriers[Material]),""))</f>
        <v/>
      </c>
      <c r="O189" t="str">
        <f>IF(F189="","",IFERROR(_xlfn.XLOOKUP(F189,TableLibraryBarriers[Type],TableLibraryBarriers[PostSpacing]),""))</f>
        <v/>
      </c>
      <c r="P189" t="str">
        <f>IF(F189="","",IFERROR(_xlfn.XLOOKUP(F189,TableLibraryBarriers[Type],TableLibraryBarriers[ModuleLength]),""))</f>
        <v/>
      </c>
      <c r="Q189" t="str">
        <f>IF(F189="","",IFERROR(_xlfn.XLOOKUP(F189,TableLibraryBarriers[Type],TableLibraryBarriers[Height]),""))</f>
        <v/>
      </c>
      <c r="R189" t="str">
        <f>IF(F189="","",IFERROR(_xlfn.XLOOKUP(F189,TableLibraryBarriers[Type],TableLibraryBarriers[Width]),""))</f>
        <v/>
      </c>
      <c r="S189" t="str">
        <f>IF(F189="","",IFERROR(_xlfn.XLOOKUP(F189,TableLibraryBarriers[Type],TableLibraryBarriers[ContainmentLevel]),""))</f>
        <v/>
      </c>
      <c r="T189" t="str">
        <f>IF(F189="","",IFERROR(_xlfn.XLOOKUP(F189,TableLibraryBarriers[Type],TableLibraryBarriers[WorkingWidth]),""))</f>
        <v/>
      </c>
      <c r="U189" t="str">
        <f>IF(F189="","",IFERROR(_xlfn.XLOOKUP(F189,TableLibraryBarriers[Type],TableLibraryBarriers[Layer]),""))</f>
        <v/>
      </c>
      <c r="V189" t="str">
        <f>IF(F189="","",IFERROR(_xlfn.XLOOKUP(F189,TableLibraryBarriers[Type],TableLibraryBarriers[TimeUnitLength(h)]),""))</f>
        <v/>
      </c>
      <c r="W189" t="str">
        <f>IF(F189="","",IFERROR(_xlfn.XLOOKUP(F189,TableLibraryBarriers[Type],TableLibraryBarriers[CostUnitLength]),""))</f>
        <v/>
      </c>
      <c r="X189" t="str">
        <f>IF(F189="","",IFERROR(_xlfn.XLOOKUP(F189,TableLibraryBarriers[Type],TableLibraryBarriers[Notes]),""))</f>
        <v/>
      </c>
      <c r="Y189" s="19"/>
      <c r="Z189" s="19"/>
    </row>
    <row r="190" spans="1:26">
      <c r="A190" t="str">
        <f t="shared" si="2"/>
        <v/>
      </c>
      <c r="C190" s="21"/>
      <c r="D190" s="21"/>
      <c r="E190" s="19"/>
      <c r="G190" s="16" t="str">
        <f>IF(BarriersTable[[#This Row],[PKStartValue]]="","",IF(C190="","",INT(C190/1000)&amp;"+"&amp;TEXT(MOD(C190,1000),"000.00")))</f>
        <v/>
      </c>
      <c r="H190" s="16" t="str">
        <f>IF(BarriersTable[[#This Row],[PKEndValue]]="","",IF(D190="","",INT(D190/1000)&amp;"+"&amp;TEXT(MOD(D190,1000),"000.00")))</f>
        <v/>
      </c>
      <c r="I190" t="str">
        <f>IF(F190="","",IFERROR(_xlfn.XLOOKUP(F190,TableLibraryBarriers[Type],TableLibraryBarriers[BarrierFamily]),""))</f>
        <v/>
      </c>
      <c r="J190" t="str">
        <f>IF(F190="","",IFERROR(_xlfn.XLOOKUP(F190,TableLibraryBarriers[Type],TableLibraryBarriers[BarrierType]),""))</f>
        <v/>
      </c>
      <c r="K190" t="str">
        <f>IF(F190="","",IFERROR(_xlfn.XLOOKUP(F190,TableLibraryBarriers[Type],TableLibraryBarriers[BlockLinear]),""))</f>
        <v/>
      </c>
      <c r="L190" t="str">
        <f>IF(F190="","",IFERROR(_xlfn.XLOOKUP(F190,TableLibraryBarriers[Type],TableLibraryBarriers[BlockPost]),""))</f>
        <v/>
      </c>
      <c r="M190" t="str">
        <f>IF(F190="","",IFERROR(_xlfn.XLOOKUP(F190,TableLibraryBarriers[Type],TableLibraryBarriers[IFCEntity]),""))</f>
        <v/>
      </c>
      <c r="N190" t="str">
        <f>IF(F190="","",IFERROR(_xlfn.XLOOKUP(F190,TableLibraryBarriers[Type],TableLibraryBarriers[Material]),""))</f>
        <v/>
      </c>
      <c r="O190" t="str">
        <f>IF(F190="","",IFERROR(_xlfn.XLOOKUP(F190,TableLibraryBarriers[Type],TableLibraryBarriers[PostSpacing]),""))</f>
        <v/>
      </c>
      <c r="P190" t="str">
        <f>IF(F190="","",IFERROR(_xlfn.XLOOKUP(F190,TableLibraryBarriers[Type],TableLibraryBarriers[ModuleLength]),""))</f>
        <v/>
      </c>
      <c r="Q190" t="str">
        <f>IF(F190="","",IFERROR(_xlfn.XLOOKUP(F190,TableLibraryBarriers[Type],TableLibraryBarriers[Height]),""))</f>
        <v/>
      </c>
      <c r="R190" t="str">
        <f>IF(F190="","",IFERROR(_xlfn.XLOOKUP(F190,TableLibraryBarriers[Type],TableLibraryBarriers[Width]),""))</f>
        <v/>
      </c>
      <c r="S190" t="str">
        <f>IF(F190="","",IFERROR(_xlfn.XLOOKUP(F190,TableLibraryBarriers[Type],TableLibraryBarriers[ContainmentLevel]),""))</f>
        <v/>
      </c>
      <c r="T190" t="str">
        <f>IF(F190="","",IFERROR(_xlfn.XLOOKUP(F190,TableLibraryBarriers[Type],TableLibraryBarriers[WorkingWidth]),""))</f>
        <v/>
      </c>
      <c r="U190" t="str">
        <f>IF(F190="","",IFERROR(_xlfn.XLOOKUP(F190,TableLibraryBarriers[Type],TableLibraryBarriers[Layer]),""))</f>
        <v/>
      </c>
      <c r="V190" t="str">
        <f>IF(F190="","",IFERROR(_xlfn.XLOOKUP(F190,TableLibraryBarriers[Type],TableLibraryBarriers[TimeUnitLength(h)]),""))</f>
        <v/>
      </c>
      <c r="W190" t="str">
        <f>IF(F190="","",IFERROR(_xlfn.XLOOKUP(F190,TableLibraryBarriers[Type],TableLibraryBarriers[CostUnitLength]),""))</f>
        <v/>
      </c>
      <c r="X190" t="str">
        <f>IF(F190="","",IFERROR(_xlfn.XLOOKUP(F190,TableLibraryBarriers[Type],TableLibraryBarriers[Notes]),""))</f>
        <v/>
      </c>
      <c r="Y190" s="19"/>
      <c r="Z190" s="19"/>
    </row>
    <row r="191" spans="1:26">
      <c r="A191" t="str">
        <f t="shared" si="2"/>
        <v/>
      </c>
      <c r="C191" s="21"/>
      <c r="D191" s="21"/>
      <c r="E191" s="19"/>
      <c r="G191" s="16" t="str">
        <f>IF(BarriersTable[[#This Row],[PKStartValue]]="","",IF(C191="","",INT(C191/1000)&amp;"+"&amp;TEXT(MOD(C191,1000),"000.00")))</f>
        <v/>
      </c>
      <c r="H191" s="16" t="str">
        <f>IF(BarriersTable[[#This Row],[PKEndValue]]="","",IF(D191="","",INT(D191/1000)&amp;"+"&amp;TEXT(MOD(D191,1000),"000.00")))</f>
        <v/>
      </c>
      <c r="I191" t="str">
        <f>IF(F191="","",IFERROR(_xlfn.XLOOKUP(F191,TableLibraryBarriers[Type],TableLibraryBarriers[BarrierFamily]),""))</f>
        <v/>
      </c>
      <c r="J191" t="str">
        <f>IF(F191="","",IFERROR(_xlfn.XLOOKUP(F191,TableLibraryBarriers[Type],TableLibraryBarriers[BarrierType]),""))</f>
        <v/>
      </c>
      <c r="K191" t="str">
        <f>IF(F191="","",IFERROR(_xlfn.XLOOKUP(F191,TableLibraryBarriers[Type],TableLibraryBarriers[BlockLinear]),""))</f>
        <v/>
      </c>
      <c r="L191" t="str">
        <f>IF(F191="","",IFERROR(_xlfn.XLOOKUP(F191,TableLibraryBarriers[Type],TableLibraryBarriers[BlockPost]),""))</f>
        <v/>
      </c>
      <c r="M191" t="str">
        <f>IF(F191="","",IFERROR(_xlfn.XLOOKUP(F191,TableLibraryBarriers[Type],TableLibraryBarriers[IFCEntity]),""))</f>
        <v/>
      </c>
      <c r="N191" t="str">
        <f>IF(F191="","",IFERROR(_xlfn.XLOOKUP(F191,TableLibraryBarriers[Type],TableLibraryBarriers[Material]),""))</f>
        <v/>
      </c>
      <c r="O191" t="str">
        <f>IF(F191="","",IFERROR(_xlfn.XLOOKUP(F191,TableLibraryBarriers[Type],TableLibraryBarriers[PostSpacing]),""))</f>
        <v/>
      </c>
      <c r="P191" t="str">
        <f>IF(F191="","",IFERROR(_xlfn.XLOOKUP(F191,TableLibraryBarriers[Type],TableLibraryBarriers[ModuleLength]),""))</f>
        <v/>
      </c>
      <c r="Q191" t="str">
        <f>IF(F191="","",IFERROR(_xlfn.XLOOKUP(F191,TableLibraryBarriers[Type],TableLibraryBarriers[Height]),""))</f>
        <v/>
      </c>
      <c r="R191" t="str">
        <f>IF(F191="","",IFERROR(_xlfn.XLOOKUP(F191,TableLibraryBarriers[Type],TableLibraryBarriers[Width]),""))</f>
        <v/>
      </c>
      <c r="S191" t="str">
        <f>IF(F191="","",IFERROR(_xlfn.XLOOKUP(F191,TableLibraryBarriers[Type],TableLibraryBarriers[ContainmentLevel]),""))</f>
        <v/>
      </c>
      <c r="T191" t="str">
        <f>IF(F191="","",IFERROR(_xlfn.XLOOKUP(F191,TableLibraryBarriers[Type],TableLibraryBarriers[WorkingWidth]),""))</f>
        <v/>
      </c>
      <c r="U191" t="str">
        <f>IF(F191="","",IFERROR(_xlfn.XLOOKUP(F191,TableLibraryBarriers[Type],TableLibraryBarriers[Layer]),""))</f>
        <v/>
      </c>
      <c r="V191" t="str">
        <f>IF(F191="","",IFERROR(_xlfn.XLOOKUP(F191,TableLibraryBarriers[Type],TableLibraryBarriers[TimeUnitLength(h)]),""))</f>
        <v/>
      </c>
      <c r="W191" t="str">
        <f>IF(F191="","",IFERROR(_xlfn.XLOOKUP(F191,TableLibraryBarriers[Type],TableLibraryBarriers[CostUnitLength]),""))</f>
        <v/>
      </c>
      <c r="X191" t="str">
        <f>IF(F191="","",IFERROR(_xlfn.XLOOKUP(F191,TableLibraryBarriers[Type],TableLibraryBarriers[Notes]),""))</f>
        <v/>
      </c>
      <c r="Y191" s="19"/>
      <c r="Z191" s="19"/>
    </row>
    <row r="192" spans="1:26">
      <c r="A192" t="str">
        <f t="shared" si="2"/>
        <v/>
      </c>
      <c r="C192" s="21"/>
      <c r="D192" s="21"/>
      <c r="E192" s="19"/>
      <c r="G192" s="16" t="str">
        <f>IF(BarriersTable[[#This Row],[PKStartValue]]="","",IF(C192="","",INT(C192/1000)&amp;"+"&amp;TEXT(MOD(C192,1000),"000.00")))</f>
        <v/>
      </c>
      <c r="H192" s="16" t="str">
        <f>IF(BarriersTable[[#This Row],[PKEndValue]]="","",IF(D192="","",INT(D192/1000)&amp;"+"&amp;TEXT(MOD(D192,1000),"000.00")))</f>
        <v/>
      </c>
      <c r="I192" t="str">
        <f>IF(F192="","",IFERROR(_xlfn.XLOOKUP(F192,TableLibraryBarriers[Type],TableLibraryBarriers[BarrierFamily]),""))</f>
        <v/>
      </c>
      <c r="J192" t="str">
        <f>IF(F192="","",IFERROR(_xlfn.XLOOKUP(F192,TableLibraryBarriers[Type],TableLibraryBarriers[BarrierType]),""))</f>
        <v/>
      </c>
      <c r="K192" t="str">
        <f>IF(F192="","",IFERROR(_xlfn.XLOOKUP(F192,TableLibraryBarriers[Type],TableLibraryBarriers[BlockLinear]),""))</f>
        <v/>
      </c>
      <c r="L192" t="str">
        <f>IF(F192="","",IFERROR(_xlfn.XLOOKUP(F192,TableLibraryBarriers[Type],TableLibraryBarriers[BlockPost]),""))</f>
        <v/>
      </c>
      <c r="M192" t="str">
        <f>IF(F192="","",IFERROR(_xlfn.XLOOKUP(F192,TableLibraryBarriers[Type],TableLibraryBarriers[IFCEntity]),""))</f>
        <v/>
      </c>
      <c r="N192" t="str">
        <f>IF(F192="","",IFERROR(_xlfn.XLOOKUP(F192,TableLibraryBarriers[Type],TableLibraryBarriers[Material]),""))</f>
        <v/>
      </c>
      <c r="O192" t="str">
        <f>IF(F192="","",IFERROR(_xlfn.XLOOKUP(F192,TableLibraryBarriers[Type],TableLibraryBarriers[PostSpacing]),""))</f>
        <v/>
      </c>
      <c r="P192" t="str">
        <f>IF(F192="","",IFERROR(_xlfn.XLOOKUP(F192,TableLibraryBarriers[Type],TableLibraryBarriers[ModuleLength]),""))</f>
        <v/>
      </c>
      <c r="Q192" t="str">
        <f>IF(F192="","",IFERROR(_xlfn.XLOOKUP(F192,TableLibraryBarriers[Type],TableLibraryBarriers[Height]),""))</f>
        <v/>
      </c>
      <c r="R192" t="str">
        <f>IF(F192="","",IFERROR(_xlfn.XLOOKUP(F192,TableLibraryBarriers[Type],TableLibraryBarriers[Width]),""))</f>
        <v/>
      </c>
      <c r="S192" t="str">
        <f>IF(F192="","",IFERROR(_xlfn.XLOOKUP(F192,TableLibraryBarriers[Type],TableLibraryBarriers[ContainmentLevel]),""))</f>
        <v/>
      </c>
      <c r="T192" t="str">
        <f>IF(F192="","",IFERROR(_xlfn.XLOOKUP(F192,TableLibraryBarriers[Type],TableLibraryBarriers[WorkingWidth]),""))</f>
        <v/>
      </c>
      <c r="U192" t="str">
        <f>IF(F192="","",IFERROR(_xlfn.XLOOKUP(F192,TableLibraryBarriers[Type],TableLibraryBarriers[Layer]),""))</f>
        <v/>
      </c>
      <c r="V192" t="str">
        <f>IF(F192="","",IFERROR(_xlfn.XLOOKUP(F192,TableLibraryBarriers[Type],TableLibraryBarriers[TimeUnitLength(h)]),""))</f>
        <v/>
      </c>
      <c r="W192" t="str">
        <f>IF(F192="","",IFERROR(_xlfn.XLOOKUP(F192,TableLibraryBarriers[Type],TableLibraryBarriers[CostUnitLength]),""))</f>
        <v/>
      </c>
      <c r="X192" t="str">
        <f>IF(F192="","",IFERROR(_xlfn.XLOOKUP(F192,TableLibraryBarriers[Type],TableLibraryBarriers[Notes]),""))</f>
        <v/>
      </c>
      <c r="Y192" s="19"/>
      <c r="Z192" s="19"/>
    </row>
    <row r="193" spans="1:26">
      <c r="A193" t="str">
        <f t="shared" si="2"/>
        <v/>
      </c>
      <c r="C193" s="21"/>
      <c r="D193" s="21"/>
      <c r="E193" s="19"/>
      <c r="G193" s="16" t="str">
        <f>IF(BarriersTable[[#This Row],[PKStartValue]]="","",IF(C193="","",INT(C193/1000)&amp;"+"&amp;TEXT(MOD(C193,1000),"000.00")))</f>
        <v/>
      </c>
      <c r="H193" s="16" t="str">
        <f>IF(BarriersTable[[#This Row],[PKEndValue]]="","",IF(D193="","",INT(D193/1000)&amp;"+"&amp;TEXT(MOD(D193,1000),"000.00")))</f>
        <v/>
      </c>
      <c r="I193" t="str">
        <f>IF(F193="","",IFERROR(_xlfn.XLOOKUP(F193,TableLibraryBarriers[Type],TableLibraryBarriers[BarrierFamily]),""))</f>
        <v/>
      </c>
      <c r="J193" t="str">
        <f>IF(F193="","",IFERROR(_xlfn.XLOOKUP(F193,TableLibraryBarriers[Type],TableLibraryBarriers[BarrierType]),""))</f>
        <v/>
      </c>
      <c r="K193" t="str">
        <f>IF(F193="","",IFERROR(_xlfn.XLOOKUP(F193,TableLibraryBarriers[Type],TableLibraryBarriers[BlockLinear]),""))</f>
        <v/>
      </c>
      <c r="L193" t="str">
        <f>IF(F193="","",IFERROR(_xlfn.XLOOKUP(F193,TableLibraryBarriers[Type],TableLibraryBarriers[BlockPost]),""))</f>
        <v/>
      </c>
      <c r="M193" t="str">
        <f>IF(F193="","",IFERROR(_xlfn.XLOOKUP(F193,TableLibraryBarriers[Type],TableLibraryBarriers[IFCEntity]),""))</f>
        <v/>
      </c>
      <c r="N193" t="str">
        <f>IF(F193="","",IFERROR(_xlfn.XLOOKUP(F193,TableLibraryBarriers[Type],TableLibraryBarriers[Material]),""))</f>
        <v/>
      </c>
      <c r="O193" t="str">
        <f>IF(F193="","",IFERROR(_xlfn.XLOOKUP(F193,TableLibraryBarriers[Type],TableLibraryBarriers[PostSpacing]),""))</f>
        <v/>
      </c>
      <c r="P193" t="str">
        <f>IF(F193="","",IFERROR(_xlfn.XLOOKUP(F193,TableLibraryBarriers[Type],TableLibraryBarriers[ModuleLength]),""))</f>
        <v/>
      </c>
      <c r="Q193" t="str">
        <f>IF(F193="","",IFERROR(_xlfn.XLOOKUP(F193,TableLibraryBarriers[Type],TableLibraryBarriers[Height]),""))</f>
        <v/>
      </c>
      <c r="R193" t="str">
        <f>IF(F193="","",IFERROR(_xlfn.XLOOKUP(F193,TableLibraryBarriers[Type],TableLibraryBarriers[Width]),""))</f>
        <v/>
      </c>
      <c r="S193" t="str">
        <f>IF(F193="","",IFERROR(_xlfn.XLOOKUP(F193,TableLibraryBarriers[Type],TableLibraryBarriers[ContainmentLevel]),""))</f>
        <v/>
      </c>
      <c r="T193" t="str">
        <f>IF(F193="","",IFERROR(_xlfn.XLOOKUP(F193,TableLibraryBarriers[Type],TableLibraryBarriers[WorkingWidth]),""))</f>
        <v/>
      </c>
      <c r="U193" t="str">
        <f>IF(F193="","",IFERROR(_xlfn.XLOOKUP(F193,TableLibraryBarriers[Type],TableLibraryBarriers[Layer]),""))</f>
        <v/>
      </c>
      <c r="V193" t="str">
        <f>IF(F193="","",IFERROR(_xlfn.XLOOKUP(F193,TableLibraryBarriers[Type],TableLibraryBarriers[TimeUnitLength(h)]),""))</f>
        <v/>
      </c>
      <c r="W193" t="str">
        <f>IF(F193="","",IFERROR(_xlfn.XLOOKUP(F193,TableLibraryBarriers[Type],TableLibraryBarriers[CostUnitLength]),""))</f>
        <v/>
      </c>
      <c r="X193" t="str">
        <f>IF(F193="","",IFERROR(_xlfn.XLOOKUP(F193,TableLibraryBarriers[Type],TableLibraryBarriers[Notes]),""))</f>
        <v/>
      </c>
      <c r="Y193" s="19"/>
      <c r="Z193" s="19"/>
    </row>
    <row r="194" spans="1:26">
      <c r="A194" t="str">
        <f t="shared" ref="A194:A200" si="3">IF(B194="","","B"&amp;TEXT(ROW()-1,"000"))</f>
        <v/>
      </c>
      <c r="C194" s="21"/>
      <c r="D194" s="21"/>
      <c r="E194" s="19"/>
      <c r="G194" s="16" t="str">
        <f>IF(BarriersTable[[#This Row],[PKStartValue]]="","",IF(C194="","",INT(C194/1000)&amp;"+"&amp;TEXT(MOD(C194,1000),"000.00")))</f>
        <v/>
      </c>
      <c r="H194" s="16" t="str">
        <f>IF(BarriersTable[[#This Row],[PKEndValue]]="","",IF(D194="","",INT(D194/1000)&amp;"+"&amp;TEXT(MOD(D194,1000),"000.00")))</f>
        <v/>
      </c>
      <c r="I194" t="str">
        <f>IF(F194="","",IFERROR(_xlfn.XLOOKUP(F194,TableLibraryBarriers[Type],TableLibraryBarriers[BarrierFamily]),""))</f>
        <v/>
      </c>
      <c r="J194" t="str">
        <f>IF(F194="","",IFERROR(_xlfn.XLOOKUP(F194,TableLibraryBarriers[Type],TableLibraryBarriers[BarrierType]),""))</f>
        <v/>
      </c>
      <c r="K194" t="str">
        <f>IF(F194="","",IFERROR(_xlfn.XLOOKUP(F194,TableLibraryBarriers[Type],TableLibraryBarriers[BlockLinear]),""))</f>
        <v/>
      </c>
      <c r="L194" t="str">
        <f>IF(F194="","",IFERROR(_xlfn.XLOOKUP(F194,TableLibraryBarriers[Type],TableLibraryBarriers[BlockPost]),""))</f>
        <v/>
      </c>
      <c r="M194" t="str">
        <f>IF(F194="","",IFERROR(_xlfn.XLOOKUP(F194,TableLibraryBarriers[Type],TableLibraryBarriers[IFCEntity]),""))</f>
        <v/>
      </c>
      <c r="N194" t="str">
        <f>IF(F194="","",IFERROR(_xlfn.XLOOKUP(F194,TableLibraryBarriers[Type],TableLibraryBarriers[Material]),""))</f>
        <v/>
      </c>
      <c r="O194" t="str">
        <f>IF(F194="","",IFERROR(_xlfn.XLOOKUP(F194,TableLibraryBarriers[Type],TableLibraryBarriers[PostSpacing]),""))</f>
        <v/>
      </c>
      <c r="P194" t="str">
        <f>IF(F194="","",IFERROR(_xlfn.XLOOKUP(F194,TableLibraryBarriers[Type],TableLibraryBarriers[ModuleLength]),""))</f>
        <v/>
      </c>
      <c r="Q194" t="str">
        <f>IF(F194="","",IFERROR(_xlfn.XLOOKUP(F194,TableLibraryBarriers[Type],TableLibraryBarriers[Height]),""))</f>
        <v/>
      </c>
      <c r="R194" t="str">
        <f>IF(F194="","",IFERROR(_xlfn.XLOOKUP(F194,TableLibraryBarriers[Type],TableLibraryBarriers[Width]),""))</f>
        <v/>
      </c>
      <c r="S194" t="str">
        <f>IF(F194="","",IFERROR(_xlfn.XLOOKUP(F194,TableLibraryBarriers[Type],TableLibraryBarriers[ContainmentLevel]),""))</f>
        <v/>
      </c>
      <c r="T194" t="str">
        <f>IF(F194="","",IFERROR(_xlfn.XLOOKUP(F194,TableLibraryBarriers[Type],TableLibraryBarriers[WorkingWidth]),""))</f>
        <v/>
      </c>
      <c r="U194" t="str">
        <f>IF(F194="","",IFERROR(_xlfn.XLOOKUP(F194,TableLibraryBarriers[Type],TableLibraryBarriers[Layer]),""))</f>
        <v/>
      </c>
      <c r="V194" t="str">
        <f>IF(F194="","",IFERROR(_xlfn.XLOOKUP(F194,TableLibraryBarriers[Type],TableLibraryBarriers[TimeUnitLength(h)]),""))</f>
        <v/>
      </c>
      <c r="W194" t="str">
        <f>IF(F194="","",IFERROR(_xlfn.XLOOKUP(F194,TableLibraryBarriers[Type],TableLibraryBarriers[CostUnitLength]),""))</f>
        <v/>
      </c>
      <c r="X194" t="str">
        <f>IF(F194="","",IFERROR(_xlfn.XLOOKUP(F194,TableLibraryBarriers[Type],TableLibraryBarriers[Notes]),""))</f>
        <v/>
      </c>
      <c r="Y194" s="19"/>
      <c r="Z194" s="19"/>
    </row>
    <row r="195" spans="1:26">
      <c r="A195" t="str">
        <f t="shared" si="3"/>
        <v/>
      </c>
      <c r="C195" s="21"/>
      <c r="D195" s="21"/>
      <c r="E195" s="19"/>
      <c r="G195" s="16" t="str">
        <f>IF(BarriersTable[[#This Row],[PKStartValue]]="","",IF(C195="","",INT(C195/1000)&amp;"+"&amp;TEXT(MOD(C195,1000),"000.00")))</f>
        <v/>
      </c>
      <c r="H195" s="16" t="str">
        <f>IF(BarriersTable[[#This Row],[PKEndValue]]="","",IF(D195="","",INT(D195/1000)&amp;"+"&amp;TEXT(MOD(D195,1000),"000.00")))</f>
        <v/>
      </c>
      <c r="I195" t="str">
        <f>IF(F195="","",IFERROR(_xlfn.XLOOKUP(F195,TableLibraryBarriers[Type],TableLibraryBarriers[BarrierFamily]),""))</f>
        <v/>
      </c>
      <c r="J195" t="str">
        <f>IF(F195="","",IFERROR(_xlfn.XLOOKUP(F195,TableLibraryBarriers[Type],TableLibraryBarriers[BarrierType]),""))</f>
        <v/>
      </c>
      <c r="K195" t="str">
        <f>IF(F195="","",IFERROR(_xlfn.XLOOKUP(F195,TableLibraryBarriers[Type],TableLibraryBarriers[BlockLinear]),""))</f>
        <v/>
      </c>
      <c r="L195" t="str">
        <f>IF(F195="","",IFERROR(_xlfn.XLOOKUP(F195,TableLibraryBarriers[Type],TableLibraryBarriers[BlockPost]),""))</f>
        <v/>
      </c>
      <c r="M195" t="str">
        <f>IF(F195="","",IFERROR(_xlfn.XLOOKUP(F195,TableLibraryBarriers[Type],TableLibraryBarriers[IFCEntity]),""))</f>
        <v/>
      </c>
      <c r="N195" t="str">
        <f>IF(F195="","",IFERROR(_xlfn.XLOOKUP(F195,TableLibraryBarriers[Type],TableLibraryBarriers[Material]),""))</f>
        <v/>
      </c>
      <c r="O195" t="str">
        <f>IF(F195="","",IFERROR(_xlfn.XLOOKUP(F195,TableLibraryBarriers[Type],TableLibraryBarriers[PostSpacing]),""))</f>
        <v/>
      </c>
      <c r="P195" t="str">
        <f>IF(F195="","",IFERROR(_xlfn.XLOOKUP(F195,TableLibraryBarriers[Type],TableLibraryBarriers[ModuleLength]),""))</f>
        <v/>
      </c>
      <c r="Q195" t="str">
        <f>IF(F195="","",IFERROR(_xlfn.XLOOKUP(F195,TableLibraryBarriers[Type],TableLibraryBarriers[Height]),""))</f>
        <v/>
      </c>
      <c r="R195" t="str">
        <f>IF(F195="","",IFERROR(_xlfn.XLOOKUP(F195,TableLibraryBarriers[Type],TableLibraryBarriers[Width]),""))</f>
        <v/>
      </c>
      <c r="S195" t="str">
        <f>IF(F195="","",IFERROR(_xlfn.XLOOKUP(F195,TableLibraryBarriers[Type],TableLibraryBarriers[ContainmentLevel]),""))</f>
        <v/>
      </c>
      <c r="T195" t="str">
        <f>IF(F195="","",IFERROR(_xlfn.XLOOKUP(F195,TableLibraryBarriers[Type],TableLibraryBarriers[WorkingWidth]),""))</f>
        <v/>
      </c>
      <c r="U195" t="str">
        <f>IF(F195="","",IFERROR(_xlfn.XLOOKUP(F195,TableLibraryBarriers[Type],TableLibraryBarriers[Layer]),""))</f>
        <v/>
      </c>
      <c r="V195" t="str">
        <f>IF(F195="","",IFERROR(_xlfn.XLOOKUP(F195,TableLibraryBarriers[Type],TableLibraryBarriers[TimeUnitLength(h)]),""))</f>
        <v/>
      </c>
      <c r="W195" t="str">
        <f>IF(F195="","",IFERROR(_xlfn.XLOOKUP(F195,TableLibraryBarriers[Type],TableLibraryBarriers[CostUnitLength]),""))</f>
        <v/>
      </c>
      <c r="X195" t="str">
        <f>IF(F195="","",IFERROR(_xlfn.XLOOKUP(F195,TableLibraryBarriers[Type],TableLibraryBarriers[Notes]),""))</f>
        <v/>
      </c>
      <c r="Y195" s="19"/>
      <c r="Z195" s="19"/>
    </row>
    <row r="196" spans="1:26">
      <c r="A196" t="str">
        <f t="shared" si="3"/>
        <v/>
      </c>
      <c r="C196" s="21"/>
      <c r="D196" s="21"/>
      <c r="E196" s="19"/>
      <c r="G196" s="16" t="str">
        <f>IF(BarriersTable[[#This Row],[PKStartValue]]="","",IF(C196="","",INT(C196/1000)&amp;"+"&amp;TEXT(MOD(C196,1000),"000.00")))</f>
        <v/>
      </c>
      <c r="H196" s="16" t="str">
        <f>IF(BarriersTable[[#This Row],[PKEndValue]]="","",IF(D196="","",INT(D196/1000)&amp;"+"&amp;TEXT(MOD(D196,1000),"000.00")))</f>
        <v/>
      </c>
      <c r="I196" t="str">
        <f>IF(F196="","",IFERROR(_xlfn.XLOOKUP(F196,TableLibraryBarriers[Type],TableLibraryBarriers[BarrierFamily]),""))</f>
        <v/>
      </c>
      <c r="J196" t="str">
        <f>IF(F196="","",IFERROR(_xlfn.XLOOKUP(F196,TableLibraryBarriers[Type],TableLibraryBarriers[BarrierType]),""))</f>
        <v/>
      </c>
      <c r="K196" t="str">
        <f>IF(F196="","",IFERROR(_xlfn.XLOOKUP(F196,TableLibraryBarriers[Type],TableLibraryBarriers[BlockLinear]),""))</f>
        <v/>
      </c>
      <c r="L196" t="str">
        <f>IF(F196="","",IFERROR(_xlfn.XLOOKUP(F196,TableLibraryBarriers[Type],TableLibraryBarriers[BlockPost]),""))</f>
        <v/>
      </c>
      <c r="M196" t="str">
        <f>IF(F196="","",IFERROR(_xlfn.XLOOKUP(F196,TableLibraryBarriers[Type],TableLibraryBarriers[IFCEntity]),""))</f>
        <v/>
      </c>
      <c r="N196" t="str">
        <f>IF(F196="","",IFERROR(_xlfn.XLOOKUP(F196,TableLibraryBarriers[Type],TableLibraryBarriers[Material]),""))</f>
        <v/>
      </c>
      <c r="O196" t="str">
        <f>IF(F196="","",IFERROR(_xlfn.XLOOKUP(F196,TableLibraryBarriers[Type],TableLibraryBarriers[PostSpacing]),""))</f>
        <v/>
      </c>
      <c r="P196" t="str">
        <f>IF(F196="","",IFERROR(_xlfn.XLOOKUP(F196,TableLibraryBarriers[Type],TableLibraryBarriers[ModuleLength]),""))</f>
        <v/>
      </c>
      <c r="Q196" t="str">
        <f>IF(F196="","",IFERROR(_xlfn.XLOOKUP(F196,TableLibraryBarriers[Type],TableLibraryBarriers[Height]),""))</f>
        <v/>
      </c>
      <c r="R196" t="str">
        <f>IF(F196="","",IFERROR(_xlfn.XLOOKUP(F196,TableLibraryBarriers[Type],TableLibraryBarriers[Width]),""))</f>
        <v/>
      </c>
      <c r="S196" t="str">
        <f>IF(F196="","",IFERROR(_xlfn.XLOOKUP(F196,TableLibraryBarriers[Type],TableLibraryBarriers[ContainmentLevel]),""))</f>
        <v/>
      </c>
      <c r="T196" t="str">
        <f>IF(F196="","",IFERROR(_xlfn.XLOOKUP(F196,TableLibraryBarriers[Type],TableLibraryBarriers[WorkingWidth]),""))</f>
        <v/>
      </c>
      <c r="U196" t="str">
        <f>IF(F196="","",IFERROR(_xlfn.XLOOKUP(F196,TableLibraryBarriers[Type],TableLibraryBarriers[Layer]),""))</f>
        <v/>
      </c>
      <c r="V196" t="str">
        <f>IF(F196="","",IFERROR(_xlfn.XLOOKUP(F196,TableLibraryBarriers[Type],TableLibraryBarriers[TimeUnitLength(h)]),""))</f>
        <v/>
      </c>
      <c r="W196" t="str">
        <f>IF(F196="","",IFERROR(_xlfn.XLOOKUP(F196,TableLibraryBarriers[Type],TableLibraryBarriers[CostUnitLength]),""))</f>
        <v/>
      </c>
      <c r="X196" t="str">
        <f>IF(F196="","",IFERROR(_xlfn.XLOOKUP(F196,TableLibraryBarriers[Type],TableLibraryBarriers[Notes]),""))</f>
        <v/>
      </c>
      <c r="Y196" s="19"/>
      <c r="Z196" s="19"/>
    </row>
    <row r="197" spans="1:26">
      <c r="A197" t="str">
        <f t="shared" si="3"/>
        <v/>
      </c>
      <c r="C197" s="21"/>
      <c r="D197" s="21"/>
      <c r="E197" s="19"/>
      <c r="G197" s="16" t="str">
        <f>IF(BarriersTable[[#This Row],[PKStartValue]]="","",IF(C197="","",INT(C197/1000)&amp;"+"&amp;TEXT(MOD(C197,1000),"000.00")))</f>
        <v/>
      </c>
      <c r="H197" s="16" t="str">
        <f>IF(BarriersTable[[#This Row],[PKEndValue]]="","",IF(D197="","",INT(D197/1000)&amp;"+"&amp;TEXT(MOD(D197,1000),"000.00")))</f>
        <v/>
      </c>
      <c r="I197" t="str">
        <f>IF(F197="","",IFERROR(_xlfn.XLOOKUP(F197,TableLibraryBarriers[Type],TableLibraryBarriers[BarrierFamily]),""))</f>
        <v/>
      </c>
      <c r="J197" t="str">
        <f>IF(F197="","",IFERROR(_xlfn.XLOOKUP(F197,TableLibraryBarriers[Type],TableLibraryBarriers[BarrierType]),""))</f>
        <v/>
      </c>
      <c r="K197" t="str">
        <f>IF(F197="","",IFERROR(_xlfn.XLOOKUP(F197,TableLibraryBarriers[Type],TableLibraryBarriers[BlockLinear]),""))</f>
        <v/>
      </c>
      <c r="L197" t="str">
        <f>IF(F197="","",IFERROR(_xlfn.XLOOKUP(F197,TableLibraryBarriers[Type],TableLibraryBarriers[BlockPost]),""))</f>
        <v/>
      </c>
      <c r="M197" t="str">
        <f>IF(F197="","",IFERROR(_xlfn.XLOOKUP(F197,TableLibraryBarriers[Type],TableLibraryBarriers[IFCEntity]),""))</f>
        <v/>
      </c>
      <c r="N197" t="str">
        <f>IF(F197="","",IFERROR(_xlfn.XLOOKUP(F197,TableLibraryBarriers[Type],TableLibraryBarriers[Material]),""))</f>
        <v/>
      </c>
      <c r="O197" t="str">
        <f>IF(F197="","",IFERROR(_xlfn.XLOOKUP(F197,TableLibraryBarriers[Type],TableLibraryBarriers[PostSpacing]),""))</f>
        <v/>
      </c>
      <c r="P197" t="str">
        <f>IF(F197="","",IFERROR(_xlfn.XLOOKUP(F197,TableLibraryBarriers[Type],TableLibraryBarriers[ModuleLength]),""))</f>
        <v/>
      </c>
      <c r="Q197" t="str">
        <f>IF(F197="","",IFERROR(_xlfn.XLOOKUP(F197,TableLibraryBarriers[Type],TableLibraryBarriers[Height]),""))</f>
        <v/>
      </c>
      <c r="R197" t="str">
        <f>IF(F197="","",IFERROR(_xlfn.XLOOKUP(F197,TableLibraryBarriers[Type],TableLibraryBarriers[Width]),""))</f>
        <v/>
      </c>
      <c r="S197" t="str">
        <f>IF(F197="","",IFERROR(_xlfn.XLOOKUP(F197,TableLibraryBarriers[Type],TableLibraryBarriers[ContainmentLevel]),""))</f>
        <v/>
      </c>
      <c r="T197" t="str">
        <f>IF(F197="","",IFERROR(_xlfn.XLOOKUP(F197,TableLibraryBarriers[Type],TableLibraryBarriers[WorkingWidth]),""))</f>
        <v/>
      </c>
      <c r="U197" t="str">
        <f>IF(F197="","",IFERROR(_xlfn.XLOOKUP(F197,TableLibraryBarriers[Type],TableLibraryBarriers[Layer]),""))</f>
        <v/>
      </c>
      <c r="V197" t="str">
        <f>IF(F197="","",IFERROR(_xlfn.XLOOKUP(F197,TableLibraryBarriers[Type],TableLibraryBarriers[TimeUnitLength(h)]),""))</f>
        <v/>
      </c>
      <c r="W197" t="str">
        <f>IF(F197="","",IFERROR(_xlfn.XLOOKUP(F197,TableLibraryBarriers[Type],TableLibraryBarriers[CostUnitLength]),""))</f>
        <v/>
      </c>
      <c r="X197" t="str">
        <f>IF(F197="","",IFERROR(_xlfn.XLOOKUP(F197,TableLibraryBarriers[Type],TableLibraryBarriers[Notes]),""))</f>
        <v/>
      </c>
      <c r="Y197" s="19"/>
      <c r="Z197" s="19"/>
    </row>
    <row r="198" spans="1:26">
      <c r="A198" t="str">
        <f t="shared" si="3"/>
        <v/>
      </c>
      <c r="C198" s="21"/>
      <c r="D198" s="21"/>
      <c r="E198" s="19"/>
      <c r="G198" s="16" t="str">
        <f>IF(BarriersTable[[#This Row],[PKStartValue]]="","",IF(C198="","",INT(C198/1000)&amp;"+"&amp;TEXT(MOD(C198,1000),"000.00")))</f>
        <v/>
      </c>
      <c r="H198" s="16" t="str">
        <f>IF(BarriersTable[[#This Row],[PKEndValue]]="","",IF(D198="","",INT(D198/1000)&amp;"+"&amp;TEXT(MOD(D198,1000),"000.00")))</f>
        <v/>
      </c>
      <c r="I198" t="str">
        <f>IF(F198="","",IFERROR(_xlfn.XLOOKUP(F198,TableLibraryBarriers[Type],TableLibraryBarriers[BarrierFamily]),""))</f>
        <v/>
      </c>
      <c r="J198" t="str">
        <f>IF(F198="","",IFERROR(_xlfn.XLOOKUP(F198,TableLibraryBarriers[Type],TableLibraryBarriers[BarrierType]),""))</f>
        <v/>
      </c>
      <c r="K198" t="str">
        <f>IF(F198="","",IFERROR(_xlfn.XLOOKUP(F198,TableLibraryBarriers[Type],TableLibraryBarriers[BlockLinear]),""))</f>
        <v/>
      </c>
      <c r="L198" t="str">
        <f>IF(F198="","",IFERROR(_xlfn.XLOOKUP(F198,TableLibraryBarriers[Type],TableLibraryBarriers[BlockPost]),""))</f>
        <v/>
      </c>
      <c r="M198" t="str">
        <f>IF(F198="","",IFERROR(_xlfn.XLOOKUP(F198,TableLibraryBarriers[Type],TableLibraryBarriers[IFCEntity]),""))</f>
        <v/>
      </c>
      <c r="N198" t="str">
        <f>IF(F198="","",IFERROR(_xlfn.XLOOKUP(F198,TableLibraryBarriers[Type],TableLibraryBarriers[Material]),""))</f>
        <v/>
      </c>
      <c r="O198" t="str">
        <f>IF(F198="","",IFERROR(_xlfn.XLOOKUP(F198,TableLibraryBarriers[Type],TableLibraryBarriers[PostSpacing]),""))</f>
        <v/>
      </c>
      <c r="P198" t="str">
        <f>IF(F198="","",IFERROR(_xlfn.XLOOKUP(F198,TableLibraryBarriers[Type],TableLibraryBarriers[ModuleLength]),""))</f>
        <v/>
      </c>
      <c r="Q198" t="str">
        <f>IF(F198="","",IFERROR(_xlfn.XLOOKUP(F198,TableLibraryBarriers[Type],TableLibraryBarriers[Height]),""))</f>
        <v/>
      </c>
      <c r="R198" t="str">
        <f>IF(F198="","",IFERROR(_xlfn.XLOOKUP(F198,TableLibraryBarriers[Type],TableLibraryBarriers[Width]),""))</f>
        <v/>
      </c>
      <c r="S198" t="str">
        <f>IF(F198="","",IFERROR(_xlfn.XLOOKUP(F198,TableLibraryBarriers[Type],TableLibraryBarriers[ContainmentLevel]),""))</f>
        <v/>
      </c>
      <c r="T198" t="str">
        <f>IF(F198="","",IFERROR(_xlfn.XLOOKUP(F198,TableLibraryBarriers[Type],TableLibraryBarriers[WorkingWidth]),""))</f>
        <v/>
      </c>
      <c r="U198" t="str">
        <f>IF(F198="","",IFERROR(_xlfn.XLOOKUP(F198,TableLibraryBarriers[Type],TableLibraryBarriers[Layer]),""))</f>
        <v/>
      </c>
      <c r="V198" t="str">
        <f>IF(F198="","",IFERROR(_xlfn.XLOOKUP(F198,TableLibraryBarriers[Type],TableLibraryBarriers[TimeUnitLength(h)]),""))</f>
        <v/>
      </c>
      <c r="W198" t="str">
        <f>IF(F198="","",IFERROR(_xlfn.XLOOKUP(F198,TableLibraryBarriers[Type],TableLibraryBarriers[CostUnitLength]),""))</f>
        <v/>
      </c>
      <c r="X198" t="str">
        <f>IF(F198="","",IFERROR(_xlfn.XLOOKUP(F198,TableLibraryBarriers[Type],TableLibraryBarriers[Notes]),""))</f>
        <v/>
      </c>
      <c r="Y198" s="19"/>
      <c r="Z198" s="19"/>
    </row>
    <row r="199" spans="1:26">
      <c r="A199" t="str">
        <f t="shared" si="3"/>
        <v/>
      </c>
      <c r="C199" s="21"/>
      <c r="D199" s="21"/>
      <c r="E199" s="19"/>
      <c r="G199" s="16" t="str">
        <f>IF(BarriersTable[[#This Row],[PKStartValue]]="","",IF(C199="","",INT(C199/1000)&amp;"+"&amp;TEXT(MOD(C199,1000),"000.00")))</f>
        <v/>
      </c>
      <c r="H199" s="16" t="str">
        <f>IF(BarriersTable[[#This Row],[PKEndValue]]="","",IF(D199="","",INT(D199/1000)&amp;"+"&amp;TEXT(MOD(D199,1000),"000.00")))</f>
        <v/>
      </c>
      <c r="I199" t="str">
        <f>IF(F199="","",IFERROR(_xlfn.XLOOKUP(F199,TableLibraryBarriers[Type],TableLibraryBarriers[BarrierFamily]),""))</f>
        <v/>
      </c>
      <c r="J199" t="str">
        <f>IF(F199="","",IFERROR(_xlfn.XLOOKUP(F199,TableLibraryBarriers[Type],TableLibraryBarriers[BarrierType]),""))</f>
        <v/>
      </c>
      <c r="K199" t="str">
        <f>IF(F199="","",IFERROR(_xlfn.XLOOKUP(F199,TableLibraryBarriers[Type],TableLibraryBarriers[BlockLinear]),""))</f>
        <v/>
      </c>
      <c r="L199" t="str">
        <f>IF(F199="","",IFERROR(_xlfn.XLOOKUP(F199,TableLibraryBarriers[Type],TableLibraryBarriers[BlockPost]),""))</f>
        <v/>
      </c>
      <c r="M199" t="str">
        <f>IF(F199="","",IFERROR(_xlfn.XLOOKUP(F199,TableLibraryBarriers[Type],TableLibraryBarriers[IFCEntity]),""))</f>
        <v/>
      </c>
      <c r="N199" t="str">
        <f>IF(F199="","",IFERROR(_xlfn.XLOOKUP(F199,TableLibraryBarriers[Type],TableLibraryBarriers[Material]),""))</f>
        <v/>
      </c>
      <c r="O199" t="str">
        <f>IF(F199="","",IFERROR(_xlfn.XLOOKUP(F199,TableLibraryBarriers[Type],TableLibraryBarriers[PostSpacing]),""))</f>
        <v/>
      </c>
      <c r="P199" t="str">
        <f>IF(F199="","",IFERROR(_xlfn.XLOOKUP(F199,TableLibraryBarriers[Type],TableLibraryBarriers[ModuleLength]),""))</f>
        <v/>
      </c>
      <c r="Q199" t="str">
        <f>IF(F199="","",IFERROR(_xlfn.XLOOKUP(F199,TableLibraryBarriers[Type],TableLibraryBarriers[Height]),""))</f>
        <v/>
      </c>
      <c r="R199" t="str">
        <f>IF(F199="","",IFERROR(_xlfn.XLOOKUP(F199,TableLibraryBarriers[Type],TableLibraryBarriers[Width]),""))</f>
        <v/>
      </c>
      <c r="S199" t="str">
        <f>IF(F199="","",IFERROR(_xlfn.XLOOKUP(F199,TableLibraryBarriers[Type],TableLibraryBarriers[ContainmentLevel]),""))</f>
        <v/>
      </c>
      <c r="T199" t="str">
        <f>IF(F199="","",IFERROR(_xlfn.XLOOKUP(F199,TableLibraryBarriers[Type],TableLibraryBarriers[WorkingWidth]),""))</f>
        <v/>
      </c>
      <c r="U199" t="str">
        <f>IF(F199="","",IFERROR(_xlfn.XLOOKUP(F199,TableLibraryBarriers[Type],TableLibraryBarriers[Layer]),""))</f>
        <v/>
      </c>
      <c r="V199" t="str">
        <f>IF(F199="","",IFERROR(_xlfn.XLOOKUP(F199,TableLibraryBarriers[Type],TableLibraryBarriers[TimeUnitLength(h)]),""))</f>
        <v/>
      </c>
      <c r="W199" t="str">
        <f>IF(F199="","",IFERROR(_xlfn.XLOOKUP(F199,TableLibraryBarriers[Type],TableLibraryBarriers[CostUnitLength]),""))</f>
        <v/>
      </c>
      <c r="X199" t="str">
        <f>IF(F199="","",IFERROR(_xlfn.XLOOKUP(F199,TableLibraryBarriers[Type],TableLibraryBarriers[Notes]),""))</f>
        <v/>
      </c>
      <c r="Y199" s="19"/>
      <c r="Z199" s="19"/>
    </row>
    <row r="200" spans="1:26">
      <c r="A200" t="str">
        <f t="shared" si="3"/>
        <v/>
      </c>
      <c r="C200" s="21"/>
      <c r="D200" s="21"/>
      <c r="E200" s="19"/>
      <c r="G200" s="16" t="str">
        <f>IF(BarriersTable[[#This Row],[PKStartValue]]="","",IF(C200="","",INT(C200/1000)&amp;"+"&amp;TEXT(MOD(C200,1000),"000.00")))</f>
        <v/>
      </c>
      <c r="H200" s="16" t="str">
        <f>IF(BarriersTable[[#This Row],[PKEndValue]]="","",IF(D200="","",INT(D200/1000)&amp;"+"&amp;TEXT(MOD(D200,1000),"000.00")))</f>
        <v/>
      </c>
      <c r="I200" t="str">
        <f>IF(F200="","",IFERROR(_xlfn.XLOOKUP(F200,TableLibraryBarriers[Type],TableLibraryBarriers[BarrierFamily]),""))</f>
        <v/>
      </c>
      <c r="J200" t="str">
        <f>IF(F200="","",IFERROR(_xlfn.XLOOKUP(F200,TableLibraryBarriers[Type],TableLibraryBarriers[BarrierType]),""))</f>
        <v/>
      </c>
      <c r="K200" t="str">
        <f>IF(F200="","",IFERROR(_xlfn.XLOOKUP(F200,TableLibraryBarriers[Type],TableLibraryBarriers[BlockLinear]),""))</f>
        <v/>
      </c>
      <c r="L200" t="str">
        <f>IF(F200="","",IFERROR(_xlfn.XLOOKUP(F200,TableLibraryBarriers[Type],TableLibraryBarriers[BlockPost]),""))</f>
        <v/>
      </c>
      <c r="M200" t="str">
        <f>IF(F200="","",IFERROR(_xlfn.XLOOKUP(F200,TableLibraryBarriers[Type],TableLibraryBarriers[IFCEntity]),""))</f>
        <v/>
      </c>
      <c r="N200" t="str">
        <f>IF(F200="","",IFERROR(_xlfn.XLOOKUP(F200,TableLibraryBarriers[Type],TableLibraryBarriers[Material]),""))</f>
        <v/>
      </c>
      <c r="O200" t="str">
        <f>IF(F200="","",IFERROR(_xlfn.XLOOKUP(F200,TableLibraryBarriers[Type],TableLibraryBarriers[PostSpacing]),""))</f>
        <v/>
      </c>
      <c r="P200" t="str">
        <f>IF(F200="","",IFERROR(_xlfn.XLOOKUP(F200,TableLibraryBarriers[Type],TableLibraryBarriers[ModuleLength]),""))</f>
        <v/>
      </c>
      <c r="Q200" t="str">
        <f>IF(F200="","",IFERROR(_xlfn.XLOOKUP(F200,TableLibraryBarriers[Type],TableLibraryBarriers[Height]),""))</f>
        <v/>
      </c>
      <c r="R200" t="str">
        <f>IF(F200="","",IFERROR(_xlfn.XLOOKUP(F200,TableLibraryBarriers[Type],TableLibraryBarriers[Width]),""))</f>
        <v/>
      </c>
      <c r="S200" t="str">
        <f>IF(F200="","",IFERROR(_xlfn.XLOOKUP(F200,TableLibraryBarriers[Type],TableLibraryBarriers[ContainmentLevel]),""))</f>
        <v/>
      </c>
      <c r="T200" t="str">
        <f>IF(F200="","",IFERROR(_xlfn.XLOOKUP(F200,TableLibraryBarriers[Type],TableLibraryBarriers[WorkingWidth]),""))</f>
        <v/>
      </c>
      <c r="U200" t="str">
        <f>IF(F200="","",IFERROR(_xlfn.XLOOKUP(F200,TableLibraryBarriers[Type],TableLibraryBarriers[Layer]),""))</f>
        <v/>
      </c>
      <c r="V200" t="str">
        <f>IF(F200="","",IFERROR(_xlfn.XLOOKUP(F200,TableLibraryBarriers[Type],TableLibraryBarriers[TimeUnitLength(h)]),""))</f>
        <v/>
      </c>
      <c r="W200" t="str">
        <f>IF(F200="","",IFERROR(_xlfn.XLOOKUP(F200,TableLibraryBarriers[Type],TableLibraryBarriers[CostUnitLength]),""))</f>
        <v/>
      </c>
      <c r="X200" t="str">
        <f>IF(F200="","",IFERROR(_xlfn.XLOOKUP(F200,TableLibraryBarriers[Type],TableLibraryBarriers[Notes]),""))</f>
        <v/>
      </c>
      <c r="Y200" s="19"/>
      <c r="Z200" s="19"/>
    </row>
  </sheetData>
  <phoneticPr fontId="3" type="noConversion"/>
  <dataValidations count="2">
    <dataValidation type="list" sqref="B2:B200" xr:uid="{00000000-0002-0000-0100-000000000000}">
      <formula1>"LEFT,RIGHT"</formula1>
    </dataValidation>
    <dataValidation sqref="C1:C1048576" xr:uid="{9DE8F5EB-2BB3-4BDB-9FD1-A768093D9AD8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19A477-2720-48AA-9DC5-40A8BC54FF73}">
          <x14:formula1>
            <xm:f>Library_Barriers!$A$2:$A$100</xm:f>
          </x14:formula1>
          <xm:sqref>F2:F200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6DD8-B39A-4ADB-8580-591542C3394E}">
  <dimension ref="A1:Q10"/>
  <sheetViews>
    <sheetView workbookViewId="0">
      <selection activeCell="E14" sqref="E14"/>
    </sheetView>
  </sheetViews>
  <sheetFormatPr baseColWidth="10" defaultRowHeight="13.8"/>
  <cols>
    <col min="1" max="1" width="22.8984375" customWidth="1"/>
    <col min="2" max="2" width="19.296875" customWidth="1"/>
    <col min="3" max="5" width="28.09765625" customWidth="1"/>
    <col min="6" max="7" width="15.8984375" customWidth="1"/>
    <col min="8" max="8" width="16.09765625" style="16" customWidth="1"/>
    <col min="9" max="9" width="15" customWidth="1"/>
    <col min="12" max="12" width="22.19921875" customWidth="1"/>
    <col min="13" max="13" width="17" customWidth="1"/>
    <col min="14" max="14" width="15.59765625" customWidth="1"/>
    <col min="15" max="15" width="19.8984375" customWidth="1"/>
    <col min="16" max="16" width="23.59765625" customWidth="1"/>
    <col min="17" max="17" width="23.796875" customWidth="1"/>
  </cols>
  <sheetData>
    <row r="1" spans="1:17">
      <c r="A1" s="11" t="s">
        <v>133</v>
      </c>
      <c r="B1" s="12" t="s">
        <v>71</v>
      </c>
      <c r="C1" s="12" t="s">
        <v>28</v>
      </c>
      <c r="D1" s="3" t="s">
        <v>180</v>
      </c>
      <c r="E1" s="3" t="s">
        <v>181</v>
      </c>
      <c r="F1" s="12" t="s">
        <v>96</v>
      </c>
      <c r="G1" s="12" t="s">
        <v>10</v>
      </c>
      <c r="H1" s="12" t="s">
        <v>178</v>
      </c>
      <c r="I1" s="12" t="s">
        <v>179</v>
      </c>
      <c r="J1" s="12" t="s">
        <v>6</v>
      </c>
      <c r="K1" s="12" t="s">
        <v>29</v>
      </c>
      <c r="L1" s="12" t="s">
        <v>30</v>
      </c>
      <c r="M1" s="12" t="s">
        <v>31</v>
      </c>
      <c r="N1" s="12" t="s">
        <v>12</v>
      </c>
      <c r="O1" s="12" t="s">
        <v>131</v>
      </c>
      <c r="P1" s="12" t="s">
        <v>132</v>
      </c>
      <c r="Q1" s="13" t="s">
        <v>13</v>
      </c>
    </row>
    <row r="2" spans="1:17">
      <c r="A2" s="4" t="s">
        <v>139</v>
      </c>
      <c r="B2" s="4" t="s">
        <v>72</v>
      </c>
      <c r="C2" s="4" t="s">
        <v>33</v>
      </c>
      <c r="D2" t="s">
        <v>199</v>
      </c>
      <c r="E2" t="s">
        <v>198</v>
      </c>
      <c r="F2" t="s">
        <v>138</v>
      </c>
      <c r="G2" s="4" t="s">
        <v>34</v>
      </c>
      <c r="H2" s="14">
        <v>4</v>
      </c>
      <c r="I2" s="14">
        <v>4</v>
      </c>
      <c r="J2" s="14">
        <v>0.75</v>
      </c>
      <c r="K2" s="14">
        <v>0.4</v>
      </c>
      <c r="L2" s="4" t="s">
        <v>35</v>
      </c>
      <c r="M2" s="4" t="s">
        <v>36</v>
      </c>
      <c r="N2" s="4" t="s">
        <v>37</v>
      </c>
      <c r="O2" s="14">
        <v>0.3</v>
      </c>
      <c r="P2" s="14">
        <v>145</v>
      </c>
      <c r="Q2" s="4" t="s">
        <v>140</v>
      </c>
    </row>
    <row r="3" spans="1:17">
      <c r="A3" s="4" t="s">
        <v>141</v>
      </c>
      <c r="B3" s="4" t="s">
        <v>72</v>
      </c>
      <c r="C3" s="4" t="s">
        <v>33</v>
      </c>
      <c r="D3" t="s">
        <v>199</v>
      </c>
      <c r="E3" t="s">
        <v>198</v>
      </c>
      <c r="F3" t="s">
        <v>138</v>
      </c>
      <c r="G3" s="4" t="s">
        <v>34</v>
      </c>
      <c r="H3" s="14">
        <v>4</v>
      </c>
      <c r="I3" s="14">
        <v>4</v>
      </c>
      <c r="J3" s="14">
        <v>0.75</v>
      </c>
      <c r="K3" s="14">
        <v>0.4</v>
      </c>
      <c r="L3" s="4" t="s">
        <v>40</v>
      </c>
      <c r="M3" s="4" t="s">
        <v>36</v>
      </c>
      <c r="N3" s="4" t="s">
        <v>37</v>
      </c>
      <c r="O3" s="14">
        <v>0.35</v>
      </c>
      <c r="P3" s="14">
        <v>165</v>
      </c>
      <c r="Q3" s="4" t="s">
        <v>142</v>
      </c>
    </row>
    <row r="4" spans="1:17" ht="27.6">
      <c r="A4" s="4" t="s">
        <v>143</v>
      </c>
      <c r="B4" s="4" t="s">
        <v>144</v>
      </c>
      <c r="C4" s="4" t="s">
        <v>145</v>
      </c>
      <c r="D4" s="4" t="s">
        <v>185</v>
      </c>
      <c r="E4" s="4" t="s">
        <v>186</v>
      </c>
      <c r="F4" t="s">
        <v>138</v>
      </c>
      <c r="G4" s="4" t="s">
        <v>34</v>
      </c>
      <c r="H4" s="14">
        <v>4</v>
      </c>
      <c r="I4" s="14">
        <v>4</v>
      </c>
      <c r="J4" s="14">
        <v>0.75</v>
      </c>
      <c r="K4" s="14">
        <v>0.4</v>
      </c>
      <c r="L4" s="4" t="s">
        <v>35</v>
      </c>
      <c r="M4" s="4" t="s">
        <v>36</v>
      </c>
      <c r="N4" s="4" t="s">
        <v>37</v>
      </c>
      <c r="O4" s="14">
        <v>0.4</v>
      </c>
      <c r="P4" s="14">
        <v>175</v>
      </c>
      <c r="Q4" s="4" t="s">
        <v>146</v>
      </c>
    </row>
    <row r="5" spans="1:17">
      <c r="A5" s="4" t="s">
        <v>147</v>
      </c>
      <c r="B5" s="4" t="s">
        <v>148</v>
      </c>
      <c r="C5" s="4" t="s">
        <v>149</v>
      </c>
      <c r="D5" t="s">
        <v>199</v>
      </c>
      <c r="E5" t="s">
        <v>200</v>
      </c>
      <c r="F5" t="s">
        <v>138</v>
      </c>
      <c r="G5" s="4" t="s">
        <v>34</v>
      </c>
      <c r="H5" s="14">
        <v>2</v>
      </c>
      <c r="I5" s="14"/>
      <c r="J5" s="14">
        <v>0.85</v>
      </c>
      <c r="K5" s="14">
        <v>0.5</v>
      </c>
      <c r="L5" s="4" t="s">
        <v>136</v>
      </c>
      <c r="M5" s="4" t="s">
        <v>137</v>
      </c>
      <c r="N5" s="4" t="s">
        <v>37</v>
      </c>
      <c r="O5" s="14">
        <v>0.45</v>
      </c>
      <c r="P5" s="14">
        <v>290</v>
      </c>
      <c r="Q5" s="4" t="s">
        <v>150</v>
      </c>
    </row>
    <row r="6" spans="1:17" ht="27.6">
      <c r="A6" s="4" t="s">
        <v>151</v>
      </c>
      <c r="B6" s="4" t="s">
        <v>152</v>
      </c>
      <c r="C6" s="4" t="s">
        <v>38</v>
      </c>
      <c r="D6" s="4" t="s">
        <v>189</v>
      </c>
      <c r="E6" s="23"/>
      <c r="F6" t="s">
        <v>138</v>
      </c>
      <c r="G6" s="4" t="s">
        <v>39</v>
      </c>
      <c r="H6" s="14"/>
      <c r="I6" s="14">
        <v>2</v>
      </c>
      <c r="J6" s="14">
        <v>0.85</v>
      </c>
      <c r="K6" s="14">
        <v>0.5</v>
      </c>
      <c r="L6" s="4" t="s">
        <v>35</v>
      </c>
      <c r="M6" s="4" t="s">
        <v>41</v>
      </c>
      <c r="N6" s="4" t="s">
        <v>37</v>
      </c>
      <c r="O6" s="14">
        <v>0.35</v>
      </c>
      <c r="P6" s="14">
        <v>240</v>
      </c>
      <c r="Q6" s="4" t="s">
        <v>153</v>
      </c>
    </row>
    <row r="7" spans="1:17">
      <c r="A7" t="s">
        <v>154</v>
      </c>
      <c r="B7" t="s">
        <v>155</v>
      </c>
      <c r="C7" t="s">
        <v>156</v>
      </c>
      <c r="D7" s="4" t="s">
        <v>191</v>
      </c>
      <c r="E7" s="4" t="s">
        <v>192</v>
      </c>
      <c r="F7" t="s">
        <v>138</v>
      </c>
      <c r="G7" t="s">
        <v>34</v>
      </c>
      <c r="H7" s="16">
        <v>3</v>
      </c>
      <c r="J7">
        <v>0.8</v>
      </c>
      <c r="K7">
        <v>0.25</v>
      </c>
      <c r="L7" t="s">
        <v>35</v>
      </c>
      <c r="M7" t="s">
        <v>137</v>
      </c>
      <c r="N7" t="s">
        <v>37</v>
      </c>
      <c r="O7" s="16">
        <v>0.25</v>
      </c>
      <c r="P7" s="16">
        <v>120</v>
      </c>
      <c r="Q7" t="s">
        <v>157</v>
      </c>
    </row>
    <row r="8" spans="1:17">
      <c r="A8" t="s">
        <v>158</v>
      </c>
      <c r="B8" t="s">
        <v>134</v>
      </c>
      <c r="C8" t="s">
        <v>135</v>
      </c>
      <c r="D8" s="4" t="s">
        <v>193</v>
      </c>
      <c r="E8" s="4" t="s">
        <v>194</v>
      </c>
      <c r="F8" t="s">
        <v>138</v>
      </c>
      <c r="G8" t="s">
        <v>34</v>
      </c>
      <c r="H8" s="16">
        <v>3</v>
      </c>
      <c r="J8">
        <v>0.9</v>
      </c>
      <c r="K8">
        <v>0.35</v>
      </c>
      <c r="L8" t="s">
        <v>40</v>
      </c>
      <c r="M8" t="s">
        <v>137</v>
      </c>
      <c r="N8" t="s">
        <v>37</v>
      </c>
      <c r="O8" s="16">
        <v>0.35</v>
      </c>
      <c r="P8" s="16">
        <v>185</v>
      </c>
      <c r="Q8" t="s">
        <v>159</v>
      </c>
    </row>
    <row r="9" spans="1:17">
      <c r="A9" t="s">
        <v>160</v>
      </c>
      <c r="B9" t="s">
        <v>161</v>
      </c>
      <c r="C9" t="s">
        <v>162</v>
      </c>
      <c r="D9" s="4" t="s">
        <v>195</v>
      </c>
      <c r="E9" s="4" t="s">
        <v>196</v>
      </c>
      <c r="F9" t="s">
        <v>138</v>
      </c>
      <c r="G9" t="s">
        <v>161</v>
      </c>
      <c r="H9" s="16">
        <v>2.5</v>
      </c>
      <c r="J9">
        <v>0.8</v>
      </c>
      <c r="K9">
        <v>0.3</v>
      </c>
      <c r="L9" t="s">
        <v>35</v>
      </c>
      <c r="M9" t="s">
        <v>36</v>
      </c>
      <c r="N9" t="s">
        <v>37</v>
      </c>
      <c r="O9" s="16">
        <v>0.4</v>
      </c>
      <c r="P9" s="16">
        <v>210</v>
      </c>
      <c r="Q9" t="s">
        <v>163</v>
      </c>
    </row>
    <row r="10" spans="1:17" ht="14.4">
      <c r="A10" t="s">
        <v>164</v>
      </c>
      <c r="B10" t="s">
        <v>39</v>
      </c>
      <c r="C10" t="s">
        <v>165</v>
      </c>
      <c r="D10" s="4" t="s">
        <v>197</v>
      </c>
      <c r="E10" s="23"/>
      <c r="F10" t="s">
        <v>138</v>
      </c>
      <c r="G10" t="s">
        <v>166</v>
      </c>
      <c r="I10">
        <v>4</v>
      </c>
      <c r="J10">
        <v>0.9</v>
      </c>
      <c r="K10">
        <v>0.6</v>
      </c>
      <c r="L10" t="s">
        <v>136</v>
      </c>
      <c r="M10" t="s">
        <v>41</v>
      </c>
      <c r="N10" t="s">
        <v>37</v>
      </c>
      <c r="O10" s="16">
        <v>0.5</v>
      </c>
      <c r="P10" s="16">
        <v>320</v>
      </c>
      <c r="Q10" t="s">
        <v>167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2BB4-6A7F-4BB1-B93E-4AE7A181C8E8}">
  <dimension ref="A2:B11"/>
  <sheetViews>
    <sheetView workbookViewId="0">
      <selection activeCell="A2" sqref="A2:B11"/>
    </sheetView>
  </sheetViews>
  <sheetFormatPr baseColWidth="10" defaultRowHeight="13.8"/>
  <cols>
    <col min="1" max="1" width="19.5" customWidth="1"/>
    <col min="2" max="2" width="25.5" customWidth="1"/>
  </cols>
  <sheetData>
    <row r="2" spans="1:2">
      <c r="A2" s="3" t="s">
        <v>180</v>
      </c>
      <c r="B2" s="3" t="s">
        <v>181</v>
      </c>
    </row>
    <row r="3" spans="1:2" ht="27.6">
      <c r="A3" s="4" t="s">
        <v>182</v>
      </c>
      <c r="B3" s="4" t="s">
        <v>183</v>
      </c>
    </row>
    <row r="4" spans="1:2" ht="27.6">
      <c r="A4" s="4" t="s">
        <v>184</v>
      </c>
      <c r="B4" s="4" t="s">
        <v>183</v>
      </c>
    </row>
    <row r="5" spans="1:2" ht="27.6">
      <c r="A5" s="4" t="s">
        <v>185</v>
      </c>
      <c r="B5" s="4" t="s">
        <v>186</v>
      </c>
    </row>
    <row r="6" spans="1:2">
      <c r="A6" s="4" t="s">
        <v>187</v>
      </c>
      <c r="B6" s="4" t="s">
        <v>188</v>
      </c>
    </row>
    <row r="7" spans="1:2" ht="14.4">
      <c r="A7" s="4" t="s">
        <v>189</v>
      </c>
      <c r="B7" s="23" t="s">
        <v>190</v>
      </c>
    </row>
    <row r="8" spans="1:2">
      <c r="A8" s="4" t="s">
        <v>191</v>
      </c>
      <c r="B8" s="4" t="s">
        <v>192</v>
      </c>
    </row>
    <row r="9" spans="1:2">
      <c r="A9" s="4" t="s">
        <v>193</v>
      </c>
      <c r="B9" s="4" t="s">
        <v>194</v>
      </c>
    </row>
    <row r="10" spans="1:2">
      <c r="A10" s="4" t="s">
        <v>195</v>
      </c>
      <c r="B10" s="4" t="s">
        <v>196</v>
      </c>
    </row>
    <row r="11" spans="1:2" ht="14.4">
      <c r="A11" s="4" t="s">
        <v>197</v>
      </c>
      <c r="B11" s="23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2ABB-2AB5-40E3-BA06-2F5BC5FB03A0}">
  <dimension ref="A1:N11"/>
  <sheetViews>
    <sheetView workbookViewId="0">
      <selection activeCell="F10" sqref="F10"/>
    </sheetView>
  </sheetViews>
  <sheetFormatPr baseColWidth="10" defaultRowHeight="13.8"/>
  <cols>
    <col min="1" max="1" width="27.69921875" customWidth="1"/>
    <col min="2" max="2" width="19.3984375" customWidth="1"/>
    <col min="3" max="3" width="14.796875" customWidth="1"/>
    <col min="4" max="4" width="22.8984375" customWidth="1"/>
  </cols>
  <sheetData>
    <row r="1" spans="1:14">
      <c r="A1" s="3" t="s">
        <v>169</v>
      </c>
      <c r="B1" s="3" t="s">
        <v>170</v>
      </c>
      <c r="C1" s="9" t="s">
        <v>171</v>
      </c>
      <c r="D1" s="9" t="s">
        <v>172</v>
      </c>
    </row>
    <row r="2" spans="1:14">
      <c r="A2" s="4" t="s">
        <v>173</v>
      </c>
      <c r="B2" s="4" t="s">
        <v>174</v>
      </c>
      <c r="C2" s="8">
        <v>4.68</v>
      </c>
      <c r="D2" s="8">
        <v>4.68</v>
      </c>
      <c r="E2" s="3"/>
      <c r="F2" s="9"/>
      <c r="G2" s="9"/>
      <c r="H2" s="9"/>
      <c r="I2" s="3"/>
      <c r="J2" s="3"/>
      <c r="K2" s="3"/>
      <c r="L2" s="9"/>
      <c r="M2" s="9"/>
      <c r="N2" s="3"/>
    </row>
    <row r="3" spans="1:14">
      <c r="A3" s="4" t="s">
        <v>173</v>
      </c>
      <c r="B3" s="4" t="s">
        <v>175</v>
      </c>
      <c r="C3" s="8">
        <v>0.68</v>
      </c>
      <c r="D3" s="8">
        <v>0.68</v>
      </c>
      <c r="E3" s="4"/>
      <c r="F3" s="8"/>
      <c r="G3" s="8"/>
      <c r="H3" s="8"/>
      <c r="I3" s="4"/>
      <c r="J3" s="4"/>
      <c r="K3" s="4"/>
      <c r="L3" s="8"/>
      <c r="M3" s="8"/>
      <c r="N3" s="4"/>
    </row>
    <row r="4" spans="1:14">
      <c r="A4" s="4" t="s">
        <v>173</v>
      </c>
      <c r="B4" s="4" t="s">
        <v>176</v>
      </c>
      <c r="C4" s="8">
        <v>0.68</v>
      </c>
      <c r="D4" s="8">
        <v>0.68</v>
      </c>
      <c r="E4" s="4"/>
      <c r="F4" s="8"/>
      <c r="G4" s="8"/>
      <c r="H4" s="8"/>
      <c r="I4" s="4"/>
      <c r="J4" s="4"/>
      <c r="K4" s="4"/>
      <c r="L4" s="8"/>
      <c r="M4" s="8"/>
      <c r="N4" s="4"/>
    </row>
    <row r="5" spans="1:14">
      <c r="A5" s="4" t="s">
        <v>173</v>
      </c>
      <c r="B5" s="4" t="s">
        <v>177</v>
      </c>
      <c r="C5" s="8">
        <v>0.68</v>
      </c>
      <c r="D5" s="8">
        <v>4.68</v>
      </c>
      <c r="E5" s="4"/>
      <c r="F5" s="8"/>
      <c r="G5" s="8"/>
      <c r="H5" s="8"/>
      <c r="I5" s="4"/>
      <c r="J5" s="4"/>
      <c r="K5" s="4"/>
      <c r="L5" s="8"/>
      <c r="M5" s="8"/>
      <c r="N5" s="4"/>
    </row>
    <row r="6" spans="1:14">
      <c r="A6" s="15"/>
      <c r="B6" s="4"/>
      <c r="C6" s="4"/>
      <c r="D6" s="4"/>
      <c r="E6" s="4"/>
      <c r="F6" s="8"/>
      <c r="G6" s="8"/>
      <c r="H6" s="8"/>
      <c r="I6" s="4"/>
      <c r="J6" s="4"/>
      <c r="K6" s="4"/>
      <c r="L6" s="8"/>
      <c r="M6" s="8"/>
      <c r="N6" s="4"/>
    </row>
    <row r="7" spans="1:14">
      <c r="A7" s="15"/>
      <c r="B7" s="4"/>
      <c r="C7" s="4"/>
      <c r="D7" s="4"/>
      <c r="E7" s="4"/>
      <c r="F7" s="8"/>
      <c r="G7" s="8"/>
      <c r="H7" s="8"/>
      <c r="I7" s="4"/>
      <c r="J7" s="4"/>
      <c r="K7" s="4"/>
      <c r="L7" s="8"/>
      <c r="M7" s="8"/>
      <c r="N7" s="4"/>
    </row>
    <row r="8" spans="1:14">
      <c r="A8" s="15"/>
      <c r="B8" s="4"/>
      <c r="C8" s="4"/>
      <c r="D8" s="4"/>
      <c r="E8" s="4"/>
      <c r="F8" s="8"/>
      <c r="G8" s="8"/>
      <c r="H8" s="8"/>
      <c r="I8" s="4"/>
      <c r="J8" s="4"/>
      <c r="K8" s="4"/>
      <c r="L8" s="8"/>
      <c r="M8" s="8"/>
      <c r="N8" s="4"/>
    </row>
    <row r="9" spans="1:14">
      <c r="A9" s="15"/>
      <c r="B9" s="4"/>
      <c r="C9" s="4"/>
      <c r="D9" s="4"/>
      <c r="E9" s="4"/>
      <c r="F9" s="8"/>
      <c r="G9" s="8"/>
      <c r="H9" s="8"/>
      <c r="I9" s="4"/>
      <c r="J9" s="4"/>
      <c r="K9" s="4"/>
      <c r="L9" s="8"/>
      <c r="M9" s="8"/>
      <c r="N9" s="4"/>
    </row>
    <row r="10" spans="1:14">
      <c r="A10" s="15"/>
      <c r="B10" s="4"/>
      <c r="C10" s="4"/>
      <c r="D10" s="4"/>
      <c r="E10" s="4"/>
      <c r="F10" s="8"/>
      <c r="G10" s="8"/>
      <c r="H10" s="8"/>
      <c r="I10" s="4"/>
      <c r="J10" s="4"/>
      <c r="K10" s="4"/>
      <c r="L10" s="8"/>
      <c r="M10" s="8"/>
      <c r="N10" s="4"/>
    </row>
    <row r="11" spans="1:14">
      <c r="A11" s="15"/>
      <c r="B11" s="4"/>
      <c r="C11" s="4"/>
      <c r="D11" s="4"/>
      <c r="E11" s="4"/>
      <c r="F11" s="8"/>
      <c r="G11" s="8"/>
      <c r="H11" s="8"/>
      <c r="I11" s="4"/>
      <c r="J11" s="4"/>
      <c r="K11" s="4"/>
      <c r="L11" s="8"/>
      <c r="M11" s="8"/>
      <c r="N11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796875" defaultRowHeight="13.8"/>
  <cols>
    <col min="1" max="1" width="17.3984375" customWidth="1"/>
    <col min="2" max="2" width="17.09765625" customWidth="1"/>
    <col min="3" max="3" width="32.59765625" customWidth="1"/>
  </cols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45</v>
      </c>
      <c r="B2" t="s">
        <v>46</v>
      </c>
      <c r="C2" t="s">
        <v>47</v>
      </c>
    </row>
    <row r="3" spans="1:3">
      <c r="A3" t="s">
        <v>48</v>
      </c>
      <c r="B3" t="s">
        <v>49</v>
      </c>
      <c r="C3" t="s">
        <v>50</v>
      </c>
    </row>
    <row r="4" spans="1:3">
      <c r="A4" t="s">
        <v>51</v>
      </c>
      <c r="B4">
        <v>2.5</v>
      </c>
      <c r="C4" t="s">
        <v>52</v>
      </c>
    </row>
    <row r="5" spans="1:3">
      <c r="A5" t="s">
        <v>53</v>
      </c>
      <c r="B5">
        <v>-2.5</v>
      </c>
      <c r="C5" t="s">
        <v>54</v>
      </c>
    </row>
    <row r="6" spans="1:3">
      <c r="A6" t="s">
        <v>55</v>
      </c>
      <c r="B6" t="s">
        <v>18</v>
      </c>
      <c r="C6" t="s">
        <v>56</v>
      </c>
    </row>
    <row r="7" spans="1:3">
      <c r="A7" t="s">
        <v>57</v>
      </c>
      <c r="B7" t="s">
        <v>32</v>
      </c>
      <c r="C7" t="s">
        <v>58</v>
      </c>
    </row>
    <row r="8" spans="1:3">
      <c r="A8" t="s">
        <v>59</v>
      </c>
      <c r="B8" t="s">
        <v>60</v>
      </c>
      <c r="C8" t="s">
        <v>61</v>
      </c>
    </row>
    <row r="9" spans="1:3">
      <c r="A9" t="s">
        <v>62</v>
      </c>
      <c r="B9" t="s">
        <v>63</v>
      </c>
      <c r="C9" t="s">
        <v>64</v>
      </c>
    </row>
    <row r="10" spans="1:3">
      <c r="A10" t="s">
        <v>65</v>
      </c>
      <c r="B10" t="s">
        <v>66</v>
      </c>
      <c r="C10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14" sqref="B14"/>
    </sheetView>
  </sheetViews>
  <sheetFormatPr baseColWidth="10" defaultColWidth="8.796875" defaultRowHeight="13.8"/>
  <cols>
    <col min="1" max="1" width="13.59765625" customWidth="1"/>
    <col min="2" max="2" width="15.3984375" customWidth="1"/>
  </cols>
  <sheetData>
    <row r="1" spans="1:2">
      <c r="A1" s="1" t="s">
        <v>67</v>
      </c>
      <c r="B1" s="1" t="s">
        <v>43</v>
      </c>
    </row>
    <row r="2" spans="1:2">
      <c r="A2" t="s">
        <v>2</v>
      </c>
      <c r="B2" t="s">
        <v>14</v>
      </c>
    </row>
    <row r="3" spans="1:2">
      <c r="A3" t="s">
        <v>2</v>
      </c>
      <c r="B3" t="s">
        <v>19</v>
      </c>
    </row>
    <row r="4" spans="1:2">
      <c r="A4" t="s">
        <v>8</v>
      </c>
      <c r="B4" t="s">
        <v>15</v>
      </c>
    </row>
    <row r="5" spans="1:2">
      <c r="A5" t="s">
        <v>8</v>
      </c>
      <c r="B5" t="s">
        <v>68</v>
      </c>
    </row>
    <row r="6" spans="1:2">
      <c r="A6" t="s">
        <v>8</v>
      </c>
      <c r="B6" t="s">
        <v>69</v>
      </c>
    </row>
    <row r="7" spans="1:2">
      <c r="A7" t="s">
        <v>9</v>
      </c>
      <c r="B7" t="s">
        <v>21</v>
      </c>
    </row>
    <row r="8" spans="1:2">
      <c r="A8" t="s">
        <v>9</v>
      </c>
      <c r="B8" t="s">
        <v>16</v>
      </c>
    </row>
    <row r="9" spans="1:2">
      <c r="A9" t="s">
        <v>9</v>
      </c>
      <c r="B9" t="s">
        <v>22</v>
      </c>
    </row>
    <row r="10" spans="1:2">
      <c r="A10" t="s">
        <v>11</v>
      </c>
      <c r="B10" t="s">
        <v>18</v>
      </c>
    </row>
    <row r="11" spans="1:2">
      <c r="A11" t="s">
        <v>11</v>
      </c>
      <c r="B11" t="s">
        <v>70</v>
      </c>
    </row>
    <row r="12" spans="1:2">
      <c r="A12" t="s">
        <v>10</v>
      </c>
      <c r="B12" t="s">
        <v>17</v>
      </c>
    </row>
    <row r="13" spans="1:2">
      <c r="A13" t="s">
        <v>10</v>
      </c>
      <c r="B13" t="s">
        <v>23</v>
      </c>
    </row>
    <row r="14" spans="1:2">
      <c r="A14" t="s">
        <v>10</v>
      </c>
      <c r="B14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506D24-F367-45B9-9C31-C7119529B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SIGNS</vt:lpstr>
      <vt:lpstr>Library_Signs</vt:lpstr>
      <vt:lpstr>BARRIERS</vt:lpstr>
      <vt:lpstr>Library_Barriers</vt:lpstr>
      <vt:lpstr>Hoja1</vt:lpstr>
      <vt:lpstr>SectionTypeOffset</vt:lpstr>
      <vt:lpstr>CONFIG</vt:lpstr>
      <vt:lpstr>CATALOG</vt:lpstr>
      <vt:lpstr>SIGN_BLOCKS</vt:lpstr>
      <vt:lpstr>Library_Barriers!Type</vt:lpstr>
      <vt:lpstr>Library_Signs!VerticalSignsBlocks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Peña Soto</cp:lastModifiedBy>
  <dcterms:modified xsi:type="dcterms:W3CDTF">2026-08-08T19:00:48Z</dcterms:modified>
</cp:coreProperties>
</file>